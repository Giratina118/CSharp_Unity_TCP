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MonsterData" sheetId="1" r:id="rId1"/>
    <sheet name="MonsterSpawnData" sheetId="2" r:id="rId2"/>
    <sheet name="String_Table" sheetId="3" r:id="rId3"/>
    <sheet name="StructureData" sheetId="4" r:id="rId4"/>
    <sheet name="StructureSpawnData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3" l="1"/>
  <c r="E8" i="3"/>
  <c r="E6" i="3"/>
  <c r="E5" i="3"/>
</calcChain>
</file>

<file path=xl/sharedStrings.xml><?xml version="1.0" encoding="utf-8"?>
<sst xmlns="http://schemas.openxmlformats.org/spreadsheetml/2006/main" count="313" uniqueCount="119">
  <si>
    <t>번호</t>
    <phoneticPr fontId="6" type="noConversion"/>
  </si>
  <si>
    <t>몬스터 번호</t>
    <phoneticPr fontId="6" type="noConversion"/>
  </si>
  <si>
    <t>몬스터 키값</t>
    <phoneticPr fontId="6" type="noConversion"/>
  </si>
  <si>
    <t>공격력</t>
    <phoneticPr fontId="6" type="noConversion"/>
  </si>
  <si>
    <t>체력</t>
    <phoneticPr fontId="6" type="noConversion"/>
  </si>
  <si>
    <t>속도</t>
    <phoneticPr fontId="6" type="noConversion"/>
  </si>
  <si>
    <t>No.</t>
    <phoneticPr fontId="6" type="noConversion"/>
  </si>
  <si>
    <t>Monster_Number</t>
    <phoneticPr fontId="6" type="noConversion"/>
  </si>
  <si>
    <t>Monster_Key</t>
    <phoneticPr fontId="6" type="noConversion"/>
  </si>
  <si>
    <t>HP</t>
    <phoneticPr fontId="6" type="noConversion"/>
  </si>
  <si>
    <t>Speed</t>
    <phoneticPr fontId="6" type="noConversion"/>
  </si>
  <si>
    <t>Damage</t>
    <phoneticPr fontId="6" type="noConversion"/>
  </si>
  <si>
    <t>int</t>
    <phoneticPr fontId="6" type="noConversion"/>
  </si>
  <si>
    <t>string</t>
    <phoneticPr fontId="6" type="noConversion"/>
  </si>
  <si>
    <t>float</t>
  </si>
  <si>
    <t>float</t>
    <phoneticPr fontId="6" type="noConversion"/>
  </si>
  <si>
    <t>Spawn_Pos_X</t>
    <phoneticPr fontId="6" type="noConversion"/>
  </si>
  <si>
    <t>스폰 위치 X좌표</t>
    <phoneticPr fontId="6" type="noConversion"/>
  </si>
  <si>
    <t>스폰 위치 Y좌표</t>
    <phoneticPr fontId="6" type="noConversion"/>
  </si>
  <si>
    <t>스폰 위치 Z좌표</t>
    <phoneticPr fontId="6" type="noConversion"/>
  </si>
  <si>
    <t>Spawn_Pos_Y</t>
    <phoneticPr fontId="6" type="noConversion"/>
  </si>
  <si>
    <t>Spawn_Pos_Z</t>
    <phoneticPr fontId="6" type="noConversion"/>
  </si>
  <si>
    <t>Spawn_Dir_X</t>
  </si>
  <si>
    <t>Spawn_Dir_X</t>
    <phoneticPr fontId="6" type="noConversion"/>
  </si>
  <si>
    <t>스폰 방향 X좌표</t>
    <phoneticPr fontId="6" type="noConversion"/>
  </si>
  <si>
    <t>스폰 방향 Y좌표</t>
    <phoneticPr fontId="6" type="noConversion"/>
  </si>
  <si>
    <t>스폰 방향 Z좌표</t>
    <phoneticPr fontId="6" type="noConversion"/>
  </si>
  <si>
    <t>Monster_Ray</t>
  </si>
  <si>
    <t>Monster_Ray</t>
    <phoneticPr fontId="6" type="noConversion"/>
  </si>
  <si>
    <t>Monster_Bee</t>
  </si>
  <si>
    <t>Monster_Bee</t>
    <phoneticPr fontId="6" type="noConversion"/>
  </si>
  <si>
    <t>점수</t>
    <phoneticPr fontId="6" type="noConversion"/>
  </si>
  <si>
    <t>Point</t>
    <phoneticPr fontId="6" type="noConversion"/>
  </si>
  <si>
    <t>한글 이름</t>
    <phoneticPr fontId="6" type="noConversion"/>
  </si>
  <si>
    <t>영어 이름</t>
    <phoneticPr fontId="6" type="noConversion"/>
  </si>
  <si>
    <t>자료형</t>
    <phoneticPr fontId="6" type="noConversion"/>
  </si>
  <si>
    <t>설명</t>
    <phoneticPr fontId="6" type="noConversion"/>
  </si>
  <si>
    <t>몬스터 번호</t>
    <phoneticPr fontId="6" type="noConversion"/>
  </si>
  <si>
    <t>몬스터 키값</t>
    <phoneticPr fontId="6" type="noConversion"/>
  </si>
  <si>
    <t>체력</t>
    <phoneticPr fontId="6" type="noConversion"/>
  </si>
  <si>
    <t>속도</t>
    <phoneticPr fontId="6" type="noConversion"/>
  </si>
  <si>
    <t>공격력</t>
    <phoneticPr fontId="6" type="noConversion"/>
  </si>
  <si>
    <t>점수</t>
    <phoneticPr fontId="6" type="noConversion"/>
  </si>
  <si>
    <t>Monster_Number</t>
  </si>
  <si>
    <t>Monster_Key</t>
  </si>
  <si>
    <t>HP</t>
  </si>
  <si>
    <t>Speed</t>
  </si>
  <si>
    <t>Damage</t>
    <phoneticPr fontId="6" type="noConversion"/>
  </si>
  <si>
    <t>Point</t>
    <phoneticPr fontId="6" type="noConversion"/>
  </si>
  <si>
    <t>int</t>
    <phoneticPr fontId="6" type="noConversion"/>
  </si>
  <si>
    <t>string</t>
    <phoneticPr fontId="6" type="noConversion"/>
  </si>
  <si>
    <t>float</t>
    <phoneticPr fontId="6" type="noConversion"/>
  </si>
  <si>
    <t>몬스터 고유의 번호
1001: 가오리 몬스터, 2001: 벌 몬스터</t>
    <phoneticPr fontId="6" type="noConversion"/>
  </si>
  <si>
    <t>몬스터의 string 키값, string 테이블로 연결
모든 몬스터는 Monster_ 로 시작</t>
    <phoneticPr fontId="6" type="noConversion"/>
  </si>
  <si>
    <t>몬스터의 체력, 공격을 당하면 줄어들고 0이 되면 소멸</t>
    <phoneticPr fontId="6" type="noConversion"/>
  </si>
  <si>
    <t>몬스터의 이동속도</t>
    <phoneticPr fontId="6" type="noConversion"/>
  </si>
  <si>
    <t>몬스터의 공격력</t>
    <phoneticPr fontId="6" type="noConversion"/>
  </si>
  <si>
    <t>몬스터를 쓰러뜨렸을 때 플레이어가 얻을 수 있는 점수</t>
    <phoneticPr fontId="6" type="noConversion"/>
  </si>
  <si>
    <t>몬스터의 최초 스폰 좌표 ( X좌표 )</t>
    <phoneticPr fontId="6" type="noConversion"/>
  </si>
  <si>
    <t>몬스터의 최초 스폰 좌표 ( Z좌표 )</t>
    <phoneticPr fontId="6" type="noConversion"/>
  </si>
  <si>
    <t>몬스터의 최초 스폰 좌표 ( Y좌표 )</t>
    <phoneticPr fontId="6" type="noConversion"/>
  </si>
  <si>
    <t>몬스터 스폰 시 바라보는 방향 ( X좌표 )</t>
    <phoneticPr fontId="6" type="noConversion"/>
  </si>
  <si>
    <t>몬스터 스폰 시 바라보는 방향 ( Z좌표 )</t>
    <phoneticPr fontId="6" type="noConversion"/>
  </si>
  <si>
    <t>몬스터 스폰 시 바라보는 방향 ( Y좌표 )</t>
    <phoneticPr fontId="6" type="noConversion"/>
  </si>
  <si>
    <t>키값</t>
    <phoneticPr fontId="6" type="noConversion"/>
  </si>
  <si>
    <t>내용</t>
    <phoneticPr fontId="6" type="noConversion"/>
  </si>
  <si>
    <t>번역 현황</t>
    <phoneticPr fontId="6" type="noConversion"/>
  </si>
  <si>
    <t>Monster_Ray</t>
    <phoneticPr fontId="6" type="noConversion"/>
  </si>
  <si>
    <t>가오리 몬스터</t>
    <phoneticPr fontId="6" type="noConversion"/>
  </si>
  <si>
    <t>벌 몬스터</t>
    <phoneticPr fontId="6" type="noConversion"/>
  </si>
  <si>
    <t>National_Code</t>
    <phoneticPr fontId="6" type="noConversion"/>
  </si>
  <si>
    <t>String_Key</t>
  </si>
  <si>
    <t>Content</t>
  </si>
  <si>
    <t>Translation_Status</t>
  </si>
  <si>
    <t>한글 이름</t>
    <phoneticPr fontId="6" type="noConversion"/>
  </si>
  <si>
    <t>영어 이름</t>
    <phoneticPr fontId="6" type="noConversion"/>
  </si>
  <si>
    <t>국가 코드</t>
    <phoneticPr fontId="6" type="noConversion"/>
  </si>
  <si>
    <t>자료형</t>
    <phoneticPr fontId="6" type="noConversion"/>
  </si>
  <si>
    <t>설명</t>
    <phoneticPr fontId="6" type="noConversion"/>
  </si>
  <si>
    <t>국가 별 코드
한국: 1,  미국: 2</t>
    <phoneticPr fontId="6" type="noConversion"/>
  </si>
  <si>
    <t>string 키값
고유의 값으로 다른 값들과 구분</t>
    <phoneticPr fontId="6" type="noConversion"/>
  </si>
  <si>
    <t>국가 별로 번역한 내용</t>
  </si>
  <si>
    <r>
      <rPr>
        <sz val="11"/>
        <color rgb="FF0070C0"/>
        <rFont val="맑은 고딕"/>
        <family val="3"/>
        <charset val="129"/>
        <scheme val="minor"/>
      </rPr>
      <t>번역 완료 되었다면 1</t>
    </r>
    <r>
      <rPr>
        <sz val="11"/>
        <color theme="1"/>
        <rFont val="맑은 고딕"/>
        <family val="2"/>
        <scheme val="minor"/>
      </rPr>
      <t xml:space="preserve">, 
</t>
    </r>
    <r>
      <rPr>
        <sz val="11"/>
        <color rgb="FFFF5050"/>
        <rFont val="맑은 고딕"/>
        <family val="3"/>
        <charset val="129"/>
        <scheme val="minor"/>
      </rPr>
      <t>번역되지 않았다면 -1</t>
    </r>
    <phoneticPr fontId="6" type="noConversion"/>
  </si>
  <si>
    <t>Notice_Create_Monster</t>
    <phoneticPr fontId="6" type="noConversion"/>
  </si>
  <si>
    <t>Notice_Remove_Monster</t>
    <phoneticPr fontId="6" type="noConversion"/>
  </si>
  <si>
    <t>가 생성되었습니다.</t>
    <phoneticPr fontId="6" type="noConversion"/>
  </si>
  <si>
    <t>가 쓰러졌습니다.</t>
    <phoneticPr fontId="6" type="noConversion"/>
  </si>
  <si>
    <t>구조물 번호</t>
    <phoneticPr fontId="6" type="noConversion"/>
  </si>
  <si>
    <t>Structure_Number</t>
    <phoneticPr fontId="6" type="noConversion"/>
  </si>
  <si>
    <r>
      <t>X축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길이</t>
    </r>
    <phoneticPr fontId="6" type="noConversion"/>
  </si>
  <si>
    <r>
      <t xml:space="preserve">Z축 </t>
    </r>
    <r>
      <rPr>
        <sz val="11"/>
        <color theme="1"/>
        <rFont val="맑은 고딕"/>
        <family val="2"/>
        <charset val="129"/>
        <scheme val="minor"/>
      </rPr>
      <t>길이</t>
    </r>
    <phoneticPr fontId="6" type="noConversion"/>
  </si>
  <si>
    <r>
      <t xml:space="preserve">Y축 </t>
    </r>
    <r>
      <rPr>
        <sz val="11"/>
        <color theme="1"/>
        <rFont val="맑은 고딕"/>
        <family val="2"/>
        <charset val="129"/>
        <scheme val="minor"/>
      </rPr>
      <t>길이</t>
    </r>
    <phoneticPr fontId="6" type="noConversion"/>
  </si>
  <si>
    <r>
      <t>L</t>
    </r>
    <r>
      <rPr>
        <sz val="11"/>
        <color theme="1"/>
        <rFont val="맑은 고딕"/>
        <family val="2"/>
        <charset val="129"/>
        <scheme val="minor"/>
      </rPr>
      <t>ength</t>
    </r>
    <r>
      <rPr>
        <sz val="11"/>
        <color theme="1"/>
        <rFont val="맑은 고딕"/>
        <family val="2"/>
        <charset val="129"/>
        <scheme val="minor"/>
      </rPr>
      <t>_X</t>
    </r>
    <phoneticPr fontId="6" type="noConversion"/>
  </si>
  <si>
    <t>Length_Y</t>
    <phoneticPr fontId="6" type="noConversion"/>
  </si>
  <si>
    <t>Length_Z</t>
    <phoneticPr fontId="6" type="noConversion"/>
  </si>
  <si>
    <t>String_Key</t>
    <phoneticPr fontId="6" type="noConversion"/>
  </si>
  <si>
    <t>Building_01</t>
    <phoneticPr fontId="6" type="noConversion"/>
  </si>
  <si>
    <t>Building_02</t>
    <phoneticPr fontId="6" type="noConversion"/>
  </si>
  <si>
    <t>BurstedTank</t>
    <phoneticPr fontId="6" type="noConversion"/>
  </si>
  <si>
    <t>Cactus</t>
    <phoneticPr fontId="6" type="noConversion"/>
  </si>
  <si>
    <t>Rock_01</t>
    <phoneticPr fontId="6" type="noConversion"/>
  </si>
  <si>
    <t>Rock_02</t>
    <phoneticPr fontId="6" type="noConversion"/>
  </si>
  <si>
    <t>Helipad</t>
    <phoneticPr fontId="6" type="noConversion"/>
  </si>
  <si>
    <t>OilStorage</t>
    <phoneticPr fontId="6" type="noConversion"/>
  </si>
  <si>
    <t>PumpJack</t>
    <phoneticPr fontId="6" type="noConversion"/>
  </si>
  <si>
    <t>Rader</t>
    <phoneticPr fontId="6" type="noConversion"/>
  </si>
  <si>
    <t>Rock_03</t>
  </si>
  <si>
    <t>Tree_01</t>
    <phoneticPr fontId="6" type="noConversion"/>
  </si>
  <si>
    <t>Tree_02</t>
  </si>
  <si>
    <t>Rock_01</t>
    <phoneticPr fontId="6" type="noConversion"/>
  </si>
  <si>
    <t>설명</t>
    <phoneticPr fontId="6" type="noConversion"/>
  </si>
  <si>
    <t>string 키값</t>
    <phoneticPr fontId="6" type="noConversion"/>
  </si>
  <si>
    <t>오브젝트 고유의 번호
1000번대 인공물, 2000번대 자연물
3000번대 기타(ex 인공물 중 건물이 아닌 것)</t>
    <phoneticPr fontId="6" type="noConversion"/>
  </si>
  <si>
    <t>오브젝트의 x축 길이의 절반</t>
    <phoneticPr fontId="6" type="noConversion"/>
  </si>
  <si>
    <t>오브젝트의 z축 길이의 절반</t>
    <phoneticPr fontId="6" type="noConversion"/>
  </si>
  <si>
    <t>오브젝트의 y축 길이의 절반</t>
    <phoneticPr fontId="6" type="noConversion"/>
  </si>
  <si>
    <t>오브젝트의 스폰 위치 x값(월드좌표)</t>
    <phoneticPr fontId="6" type="noConversion"/>
  </si>
  <si>
    <t>오브젝트의 스폰 위치 y값(월드좌표)</t>
    <phoneticPr fontId="6" type="noConversion"/>
  </si>
  <si>
    <t>오브젝트의 스폰 위치 z값(월드좌표)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</si>
</sst>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505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2" borderId="1" applyNumberFormat="0" applyFon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0" borderId="2" xfId="0" applyBorder="1" applyAlignment="1">
      <alignment horizontal="center"/>
    </xf>
    <xf numFmtId="0" fontId="5" fillId="3" borderId="2" xfId="2" applyBorder="1" applyAlignment="1">
      <alignment horizontal="center"/>
    </xf>
    <xf numFmtId="0" fontId="0" fillId="2" borderId="2" xfId="1" applyFont="1" applyBorder="1" applyAlignment="1">
      <alignment horizontal="center"/>
    </xf>
    <xf numFmtId="0" fontId="5" fillId="4" borderId="2" xfId="3" applyBorder="1" applyAlignment="1">
      <alignment horizontal="center"/>
    </xf>
    <xf numFmtId="0" fontId="4" fillId="4" borderId="2" xfId="3" applyFont="1" applyBorder="1" applyAlignment="1">
      <alignment horizontal="center"/>
    </xf>
    <xf numFmtId="0" fontId="4" fillId="2" borderId="2" xfId="1" applyFont="1" applyBorder="1" applyAlignment="1">
      <alignment horizontal="center"/>
    </xf>
    <xf numFmtId="0" fontId="5" fillId="3" borderId="2" xfId="2" applyBorder="1" applyAlignment="1">
      <alignment horizontal="center" vertical="center"/>
    </xf>
    <xf numFmtId="0" fontId="5" fillId="4" borderId="2" xfId="3" applyBorder="1" applyAlignment="1">
      <alignment horizontal="center" vertical="center"/>
    </xf>
    <xf numFmtId="0" fontId="4" fillId="2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3" applyBorder="1" applyAlignment="1">
      <alignment horizontal="center" vertical="center"/>
    </xf>
    <xf numFmtId="0" fontId="5" fillId="3" borderId="2" xfId="2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3" borderId="2" xfId="2" applyFont="1" applyBorder="1" applyAlignment="1">
      <alignment horizontal="center"/>
    </xf>
    <xf numFmtId="0" fontId="0" fillId="2" borderId="2" xfId="1" applyFont="1" applyBorder="1" applyAlignment="1">
      <alignment horizontal="center" vertical="center"/>
    </xf>
    <xf numFmtId="0" fontId="0" fillId="2" borderId="2" xfId="1" applyFont="1" applyBorder="1" applyAlignment="1">
      <alignment horizontal="center" vertical="center"/>
    </xf>
    <xf numFmtId="0" fontId="4" fillId="3" borderId="2" xfId="2" applyFont="1" applyBorder="1" applyAlignment="1">
      <alignment horizontal="center" vertical="center"/>
    </xf>
    <xf numFmtId="0" fontId="4" fillId="4" borderId="2" xfId="3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3" applyBorder="1" applyAlignment="1">
      <alignment horizontal="center" vertical="center"/>
    </xf>
    <xf numFmtId="0" fontId="5" fillId="3" borderId="2" xfId="2" applyBorder="1" applyAlignment="1">
      <alignment horizontal="center" vertical="center"/>
    </xf>
    <xf numFmtId="0" fontId="0" fillId="2" borderId="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2" xfId="2" applyFont="1" applyBorder="1" applyAlignment="1">
      <alignment horizontal="center" vertical="center"/>
    </xf>
    <xf numFmtId="0" fontId="3" fillId="4" borderId="2" xfId="3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" fillId="3" borderId="2" xfId="2" applyFont="1" applyBorder="1" applyAlignment="1">
      <alignment horizontal="center" vertical="center"/>
    </xf>
    <xf numFmtId="0" fontId="2" fillId="4" borderId="2" xfId="3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2" borderId="2" xfId="1" applyFont="1" applyBorder="1" applyAlignment="1">
      <alignment horizontal="center" vertical="center"/>
    </xf>
    <xf numFmtId="0" fontId="5" fillId="4" borderId="2" xfId="3" applyBorder="1" applyAlignment="1">
      <alignment horizontal="center" vertical="center"/>
    </xf>
    <xf numFmtId="0" fontId="5" fillId="3" borderId="2" xfId="2" applyBorder="1" applyAlignment="1">
      <alignment horizontal="center" vertical="center"/>
    </xf>
    <xf numFmtId="0" fontId="0" fillId="2" borderId="2" xfId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4" fillId="3" borderId="2" xfId="2" applyFont="1" applyBorder="1" applyAlignment="1">
      <alignment horizontal="center" vertical="center"/>
    </xf>
    <xf numFmtId="0" fontId="3" fillId="3" borderId="2" xfId="2" applyFont="1" applyBorder="1" applyAlignment="1">
      <alignment horizontal="center" vertical="center"/>
    </xf>
    <xf numFmtId="0" fontId="3" fillId="4" borderId="2" xfId="3" applyFont="1" applyBorder="1" applyAlignment="1">
      <alignment horizontal="center" vertical="center"/>
    </xf>
  </cellXfs>
  <cellStyles count="4">
    <cellStyle name="20% - 강조색2" xfId="2" builtinId="34"/>
    <cellStyle name="20% - 강조색6" xfId="3" builtinId="50"/>
    <cellStyle name="메모" xfId="1" builtinId="10"/>
    <cellStyle name="표준" xfId="0" builtinId="0"/>
  </cellStyles>
  <dxfs count="2">
    <dxf>
      <fill>
        <patternFill>
          <bgColor rgb="FFFF5050"/>
        </patternFill>
      </fill>
    </dxf>
    <dxf>
      <fill>
        <patternFill>
          <bgColor rgb="FF3399FF"/>
        </patternFill>
      </fill>
    </dxf>
  </dxfs>
  <tableStyles count="0" defaultTableStyle="TableStyleMedium2" defaultPivotStyle="PivotStyleLight16"/>
  <colors>
    <mruColors>
      <color rgb="FFFF5050"/>
      <color rgb="FF3399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"/>
  <sheetViews>
    <sheetView zoomScale="85" zoomScaleNormal="85" workbookViewId="0">
      <selection activeCell="I13" sqref="I13"/>
    </sheetView>
  </sheetViews>
  <sheetFormatPr defaultRowHeight="16.5" x14ac:dyDescent="0.3"/>
  <cols>
    <col min="1" max="1" width="5.25" bestFit="1" customWidth="1"/>
    <col min="2" max="2" width="16.75" bestFit="1" customWidth="1"/>
    <col min="3" max="3" width="12.5" bestFit="1" customWidth="1"/>
    <col min="4" max="4" width="5.25" bestFit="1" customWidth="1"/>
    <col min="5" max="5" width="6.75" bestFit="1" customWidth="1"/>
    <col min="6" max="6" width="8.625" bestFit="1" customWidth="1"/>
    <col min="7" max="9" width="9" customWidth="1"/>
    <col min="10" max="10" width="11.625" customWidth="1"/>
    <col min="11" max="11" width="16.75" customWidth="1"/>
    <col min="12" max="12" width="9" customWidth="1"/>
    <col min="13" max="13" width="50.625" customWidth="1"/>
  </cols>
  <sheetData>
    <row r="2" spans="1:13" x14ac:dyDescent="0.3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3</v>
      </c>
      <c r="G2" s="2" t="s">
        <v>31</v>
      </c>
      <c r="J2" s="7" t="s">
        <v>33</v>
      </c>
      <c r="K2" s="8" t="s">
        <v>34</v>
      </c>
      <c r="L2" s="9" t="s">
        <v>35</v>
      </c>
      <c r="M2" s="10" t="s">
        <v>36</v>
      </c>
    </row>
    <row r="3" spans="1:13" x14ac:dyDescent="0.3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4" t="s">
        <v>32</v>
      </c>
      <c r="J3" s="33" t="s">
        <v>37</v>
      </c>
      <c r="K3" s="32" t="s">
        <v>43</v>
      </c>
      <c r="L3" s="31" t="s">
        <v>49</v>
      </c>
      <c r="M3" s="29" t="s">
        <v>52</v>
      </c>
    </row>
    <row r="4" spans="1:13" x14ac:dyDescent="0.3">
      <c r="A4" s="3" t="s">
        <v>12</v>
      </c>
      <c r="B4" s="3" t="s">
        <v>12</v>
      </c>
      <c r="C4" s="3" t="s">
        <v>13</v>
      </c>
      <c r="D4" s="3" t="s">
        <v>12</v>
      </c>
      <c r="E4" s="3" t="s">
        <v>15</v>
      </c>
      <c r="F4" s="3" t="s">
        <v>12</v>
      </c>
      <c r="G4" s="3" t="s">
        <v>12</v>
      </c>
      <c r="J4" s="33"/>
      <c r="K4" s="32"/>
      <c r="L4" s="31"/>
      <c r="M4" s="30"/>
    </row>
    <row r="5" spans="1:13" x14ac:dyDescent="0.3">
      <c r="A5" s="1">
        <v>1</v>
      </c>
      <c r="B5" s="1">
        <v>1001</v>
      </c>
      <c r="C5" s="1" t="s">
        <v>28</v>
      </c>
      <c r="D5" s="1">
        <v>120</v>
      </c>
      <c r="E5" s="1">
        <v>1.5</v>
      </c>
      <c r="F5" s="1">
        <v>5</v>
      </c>
      <c r="G5" s="1">
        <v>10</v>
      </c>
      <c r="J5" s="33" t="s">
        <v>38</v>
      </c>
      <c r="K5" s="32" t="s">
        <v>44</v>
      </c>
      <c r="L5" s="31" t="s">
        <v>50</v>
      </c>
      <c r="M5" s="29" t="s">
        <v>53</v>
      </c>
    </row>
    <row r="6" spans="1:13" x14ac:dyDescent="0.3">
      <c r="A6" s="1">
        <v>2</v>
      </c>
      <c r="B6" s="1">
        <v>2001</v>
      </c>
      <c r="C6" s="1" t="s">
        <v>30</v>
      </c>
      <c r="D6" s="1">
        <v>80</v>
      </c>
      <c r="E6" s="1">
        <v>2</v>
      </c>
      <c r="F6" s="1">
        <v>10</v>
      </c>
      <c r="G6" s="1">
        <v>7</v>
      </c>
      <c r="J6" s="33"/>
      <c r="K6" s="32"/>
      <c r="L6" s="31"/>
      <c r="M6" s="30"/>
    </row>
    <row r="7" spans="1:13" x14ac:dyDescent="0.3">
      <c r="J7" s="7" t="s">
        <v>39</v>
      </c>
      <c r="K7" s="8" t="s">
        <v>45</v>
      </c>
      <c r="L7" s="9" t="s">
        <v>49</v>
      </c>
      <c r="M7" s="10" t="s">
        <v>54</v>
      </c>
    </row>
    <row r="8" spans="1:13" x14ac:dyDescent="0.3">
      <c r="J8" s="7" t="s">
        <v>40</v>
      </c>
      <c r="K8" s="8" t="s">
        <v>46</v>
      </c>
      <c r="L8" s="9" t="s">
        <v>51</v>
      </c>
      <c r="M8" s="10" t="s">
        <v>55</v>
      </c>
    </row>
    <row r="9" spans="1:13" x14ac:dyDescent="0.3">
      <c r="J9" s="7" t="s">
        <v>41</v>
      </c>
      <c r="K9" s="8" t="s">
        <v>47</v>
      </c>
      <c r="L9" s="9" t="s">
        <v>49</v>
      </c>
      <c r="M9" s="10" t="s">
        <v>56</v>
      </c>
    </row>
    <row r="10" spans="1:13" x14ac:dyDescent="0.3">
      <c r="J10" s="7" t="s">
        <v>42</v>
      </c>
      <c r="K10" s="8" t="s">
        <v>48</v>
      </c>
      <c r="L10" s="9" t="s">
        <v>49</v>
      </c>
      <c r="M10" s="10" t="s">
        <v>57</v>
      </c>
    </row>
  </sheetData>
  <mergeCells count="8">
    <mergeCell ref="M3:M4"/>
    <mergeCell ref="L3:L4"/>
    <mergeCell ref="K3:K4"/>
    <mergeCell ref="J3:J4"/>
    <mergeCell ref="M5:M6"/>
    <mergeCell ref="L5:L6"/>
    <mergeCell ref="K5:K6"/>
    <mergeCell ref="J5:J6"/>
  </mergeCells>
  <phoneticPr fontId="6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"/>
  <sheetViews>
    <sheetView tabSelected="1" zoomScale="85" zoomScaleNormal="85" workbookViewId="0">
      <selection activeCell="E8" sqref="E8"/>
    </sheetView>
  </sheetViews>
  <sheetFormatPr defaultRowHeight="16.5" x14ac:dyDescent="0.3"/>
  <cols>
    <col min="1" max="1" width="5.25" bestFit="1" customWidth="1"/>
    <col min="2" max="2" width="16.75" bestFit="1" customWidth="1"/>
    <col min="3" max="3" width="12.5" bestFit="1" customWidth="1"/>
    <col min="4" max="4" width="15.5" bestFit="1" customWidth="1"/>
    <col min="5" max="6" width="15.625" bestFit="1" customWidth="1"/>
    <col min="7" max="7" width="15.5" bestFit="1" customWidth="1"/>
    <col min="8" max="9" width="15.625" bestFit="1" customWidth="1"/>
    <col min="12" max="12" width="15.625" bestFit="1" customWidth="1"/>
    <col min="13" max="13" width="16.75" bestFit="1" customWidth="1"/>
    <col min="14" max="14" width="7.125" bestFit="1" customWidth="1"/>
    <col min="15" max="15" width="36" customWidth="1"/>
  </cols>
  <sheetData>
    <row r="2" spans="1:15" x14ac:dyDescent="0.3">
      <c r="A2" s="2" t="s">
        <v>0</v>
      </c>
      <c r="B2" s="2" t="s">
        <v>1</v>
      </c>
      <c r="C2" s="2" t="s">
        <v>2</v>
      </c>
      <c r="D2" s="2" t="s">
        <v>17</v>
      </c>
      <c r="E2" s="2" t="s">
        <v>18</v>
      </c>
      <c r="F2" s="2" t="s">
        <v>19</v>
      </c>
      <c r="G2" s="2" t="s">
        <v>24</v>
      </c>
      <c r="H2" s="2" t="s">
        <v>25</v>
      </c>
      <c r="I2" s="2" t="s">
        <v>26</v>
      </c>
      <c r="L2" s="14" t="s">
        <v>33</v>
      </c>
      <c r="M2" s="4" t="s">
        <v>34</v>
      </c>
      <c r="N2" s="6" t="s">
        <v>35</v>
      </c>
      <c r="O2" s="1" t="s">
        <v>36</v>
      </c>
    </row>
    <row r="3" spans="1:15" x14ac:dyDescent="0.3">
      <c r="A3" s="4" t="s">
        <v>6</v>
      </c>
      <c r="B3" s="4" t="s">
        <v>7</v>
      </c>
      <c r="C3" s="4" t="s">
        <v>8</v>
      </c>
      <c r="D3" s="4" t="s">
        <v>16</v>
      </c>
      <c r="E3" s="4" t="s">
        <v>20</v>
      </c>
      <c r="F3" s="4" t="s">
        <v>21</v>
      </c>
      <c r="G3" s="4" t="s">
        <v>23</v>
      </c>
      <c r="H3" s="4" t="s">
        <v>22</v>
      </c>
      <c r="I3" s="4" t="s">
        <v>22</v>
      </c>
      <c r="L3" s="33" t="s">
        <v>1</v>
      </c>
      <c r="M3" s="32" t="s">
        <v>7</v>
      </c>
      <c r="N3" s="34" t="s">
        <v>12</v>
      </c>
      <c r="O3" s="29" t="s">
        <v>52</v>
      </c>
    </row>
    <row r="4" spans="1:15" x14ac:dyDescent="0.3">
      <c r="A4" s="3" t="s">
        <v>12</v>
      </c>
      <c r="B4" s="3" t="s">
        <v>12</v>
      </c>
      <c r="C4" s="3" t="s">
        <v>13</v>
      </c>
      <c r="D4" s="3" t="s">
        <v>15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L4" s="33"/>
      <c r="M4" s="32"/>
      <c r="N4" s="34"/>
      <c r="O4" s="30"/>
    </row>
    <row r="5" spans="1:15" x14ac:dyDescent="0.3">
      <c r="A5" s="1">
        <v>1</v>
      </c>
      <c r="B5" s="1">
        <v>1001</v>
      </c>
      <c r="C5" s="1" t="s">
        <v>67</v>
      </c>
      <c r="D5" s="1">
        <v>-30</v>
      </c>
      <c r="E5" s="1">
        <v>1.25</v>
      </c>
      <c r="F5" s="1">
        <v>-30</v>
      </c>
      <c r="G5" s="1">
        <v>0</v>
      </c>
      <c r="H5" s="1">
        <v>30</v>
      </c>
      <c r="I5" s="1">
        <v>0</v>
      </c>
      <c r="L5" s="33" t="s">
        <v>2</v>
      </c>
      <c r="M5" s="32" t="s">
        <v>8</v>
      </c>
      <c r="N5" s="34" t="s">
        <v>13</v>
      </c>
      <c r="O5" s="29" t="s">
        <v>53</v>
      </c>
    </row>
    <row r="6" spans="1:15" x14ac:dyDescent="0.3">
      <c r="A6" s="1">
        <v>2</v>
      </c>
      <c r="B6" s="1">
        <v>1001</v>
      </c>
      <c r="C6" s="1" t="s">
        <v>27</v>
      </c>
      <c r="D6" s="1">
        <v>-10</v>
      </c>
      <c r="E6" s="1">
        <v>1.25</v>
      </c>
      <c r="F6" s="1">
        <v>5</v>
      </c>
      <c r="G6" s="1">
        <v>0</v>
      </c>
      <c r="H6" s="1">
        <v>90</v>
      </c>
      <c r="I6" s="1">
        <v>0</v>
      </c>
      <c r="L6" s="33"/>
      <c r="M6" s="32"/>
      <c r="N6" s="34"/>
      <c r="O6" s="30"/>
    </row>
    <row r="7" spans="1:15" x14ac:dyDescent="0.3">
      <c r="A7" s="1">
        <v>3</v>
      </c>
      <c r="B7" s="1">
        <v>2001</v>
      </c>
      <c r="C7" s="1" t="s">
        <v>29</v>
      </c>
      <c r="D7" s="1">
        <v>25</v>
      </c>
      <c r="E7" s="1">
        <v>1.25</v>
      </c>
      <c r="F7" s="1">
        <v>-25</v>
      </c>
      <c r="G7" s="1">
        <v>0</v>
      </c>
      <c r="H7" s="1">
        <v>150</v>
      </c>
      <c r="I7" s="1">
        <v>0</v>
      </c>
      <c r="L7" s="7" t="s">
        <v>17</v>
      </c>
      <c r="M7" s="8" t="s">
        <v>16</v>
      </c>
      <c r="N7" s="15" t="s">
        <v>15</v>
      </c>
      <c r="O7" s="10" t="s">
        <v>58</v>
      </c>
    </row>
    <row r="8" spans="1:15" x14ac:dyDescent="0.3">
      <c r="A8" s="1">
        <v>4</v>
      </c>
      <c r="B8" s="1">
        <v>2001</v>
      </c>
      <c r="C8" s="1" t="s">
        <v>29</v>
      </c>
      <c r="D8" s="1">
        <v>0</v>
      </c>
      <c r="E8" s="1">
        <v>1.25</v>
      </c>
      <c r="F8" s="1">
        <v>20</v>
      </c>
      <c r="G8" s="1">
        <v>0</v>
      </c>
      <c r="H8" s="1">
        <v>270</v>
      </c>
      <c r="I8" s="1">
        <v>0</v>
      </c>
      <c r="L8" s="7" t="s">
        <v>18</v>
      </c>
      <c r="M8" s="8" t="s">
        <v>20</v>
      </c>
      <c r="N8" s="15" t="s">
        <v>14</v>
      </c>
      <c r="O8" s="10" t="s">
        <v>60</v>
      </c>
    </row>
    <row r="9" spans="1:15" x14ac:dyDescent="0.3">
      <c r="L9" s="7" t="s">
        <v>19</v>
      </c>
      <c r="M9" s="8" t="s">
        <v>21</v>
      </c>
      <c r="N9" s="15" t="s">
        <v>14</v>
      </c>
      <c r="O9" s="10" t="s">
        <v>59</v>
      </c>
    </row>
    <row r="10" spans="1:15" x14ac:dyDescent="0.3">
      <c r="L10" s="7" t="s">
        <v>24</v>
      </c>
      <c r="M10" s="8" t="s">
        <v>23</v>
      </c>
      <c r="N10" s="15" t="s">
        <v>14</v>
      </c>
      <c r="O10" s="10" t="s">
        <v>61</v>
      </c>
    </row>
    <row r="11" spans="1:15" x14ac:dyDescent="0.3">
      <c r="L11" s="7" t="s">
        <v>25</v>
      </c>
      <c r="M11" s="8" t="s">
        <v>22</v>
      </c>
      <c r="N11" s="15" t="s">
        <v>14</v>
      </c>
      <c r="O11" s="10" t="s">
        <v>63</v>
      </c>
    </row>
    <row r="12" spans="1:15" x14ac:dyDescent="0.3">
      <c r="L12" s="7" t="s">
        <v>26</v>
      </c>
      <c r="M12" s="8" t="s">
        <v>22</v>
      </c>
      <c r="N12" s="15" t="s">
        <v>14</v>
      </c>
      <c r="O12" s="10" t="s">
        <v>62</v>
      </c>
    </row>
  </sheetData>
  <mergeCells count="8">
    <mergeCell ref="L3:L4"/>
    <mergeCell ref="M3:M4"/>
    <mergeCell ref="N3:N4"/>
    <mergeCell ref="O3:O4"/>
    <mergeCell ref="O5:O6"/>
    <mergeCell ref="N5:N6"/>
    <mergeCell ref="M5:M6"/>
    <mergeCell ref="L5:L6"/>
  </mergeCells>
  <phoneticPr fontId="6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9"/>
  <sheetViews>
    <sheetView zoomScale="85" zoomScaleNormal="85" workbookViewId="0">
      <selection activeCell="D33" sqref="D33"/>
    </sheetView>
  </sheetViews>
  <sheetFormatPr defaultRowHeight="16.5" x14ac:dyDescent="0.3"/>
  <cols>
    <col min="1" max="1" width="5.25" bestFit="1" customWidth="1"/>
    <col min="2" max="2" width="14.375" bestFit="1" customWidth="1"/>
    <col min="3" max="3" width="23.625" bestFit="1" customWidth="1"/>
    <col min="4" max="4" width="23" customWidth="1"/>
    <col min="5" max="5" width="17.5" bestFit="1" customWidth="1"/>
    <col min="8" max="8" width="9.625" bestFit="1" customWidth="1"/>
    <col min="9" max="9" width="17.5" bestFit="1" customWidth="1"/>
    <col min="10" max="10" width="7.125" bestFit="1" customWidth="1"/>
    <col min="11" max="11" width="31.25" customWidth="1"/>
  </cols>
  <sheetData>
    <row r="2" spans="1:11" x14ac:dyDescent="0.3">
      <c r="A2" s="7" t="s">
        <v>0</v>
      </c>
      <c r="B2" s="17" t="s">
        <v>76</v>
      </c>
      <c r="C2" s="7" t="s">
        <v>64</v>
      </c>
      <c r="D2" s="7" t="s">
        <v>65</v>
      </c>
      <c r="E2" s="7" t="s">
        <v>66</v>
      </c>
      <c r="H2" s="17" t="s">
        <v>74</v>
      </c>
      <c r="I2" s="18" t="s">
        <v>75</v>
      </c>
      <c r="J2" s="15" t="s">
        <v>77</v>
      </c>
      <c r="K2" s="10" t="s">
        <v>78</v>
      </c>
    </row>
    <row r="3" spans="1:11" x14ac:dyDescent="0.3">
      <c r="A3" s="8" t="s">
        <v>6</v>
      </c>
      <c r="B3" s="8" t="s">
        <v>70</v>
      </c>
      <c r="C3" s="8" t="s">
        <v>71</v>
      </c>
      <c r="D3" s="8" t="s">
        <v>72</v>
      </c>
      <c r="E3" s="8" t="s">
        <v>73</v>
      </c>
      <c r="H3" s="36" t="s">
        <v>76</v>
      </c>
      <c r="I3" s="32" t="s">
        <v>70</v>
      </c>
      <c r="J3" s="34" t="s">
        <v>12</v>
      </c>
      <c r="K3" s="29" t="s">
        <v>79</v>
      </c>
    </row>
    <row r="4" spans="1:11" x14ac:dyDescent="0.3">
      <c r="A4" s="15" t="s">
        <v>12</v>
      </c>
      <c r="B4" s="15" t="s">
        <v>12</v>
      </c>
      <c r="C4" s="15" t="s">
        <v>13</v>
      </c>
      <c r="D4" s="15" t="s">
        <v>13</v>
      </c>
      <c r="E4" s="15" t="s">
        <v>12</v>
      </c>
      <c r="H4" s="36"/>
      <c r="I4" s="32"/>
      <c r="J4" s="34"/>
      <c r="K4" s="29"/>
    </row>
    <row r="5" spans="1:11" x14ac:dyDescent="0.3">
      <c r="A5" s="10">
        <v>1</v>
      </c>
      <c r="B5" s="10">
        <v>1</v>
      </c>
      <c r="C5" s="10" t="s">
        <v>27</v>
      </c>
      <c r="D5" s="10" t="s">
        <v>68</v>
      </c>
      <c r="E5" s="10">
        <f>IF(COUNTBLANK(D5) &gt; 0, -1, 1)</f>
        <v>1</v>
      </c>
      <c r="H5" s="33" t="s">
        <v>64</v>
      </c>
      <c r="I5" s="32" t="s">
        <v>71</v>
      </c>
      <c r="J5" s="34" t="s">
        <v>13</v>
      </c>
      <c r="K5" s="29" t="s">
        <v>80</v>
      </c>
    </row>
    <row r="6" spans="1:11" x14ac:dyDescent="0.3">
      <c r="A6" s="10">
        <v>2</v>
      </c>
      <c r="B6" s="10">
        <v>1</v>
      </c>
      <c r="C6" s="10" t="s">
        <v>30</v>
      </c>
      <c r="D6" s="10" t="s">
        <v>69</v>
      </c>
      <c r="E6" s="10">
        <f>IF(COUNTBLANK(D6) &gt; 0, -1, 1)</f>
        <v>1</v>
      </c>
      <c r="H6" s="33"/>
      <c r="I6" s="32"/>
      <c r="J6" s="34"/>
      <c r="K6" s="29"/>
    </row>
    <row r="7" spans="1:11" x14ac:dyDescent="0.3">
      <c r="A7" s="1">
        <v>3</v>
      </c>
      <c r="B7" s="1">
        <v>1</v>
      </c>
      <c r="C7" s="1" t="s">
        <v>83</v>
      </c>
      <c r="D7" s="1" t="s">
        <v>85</v>
      </c>
      <c r="E7" s="10">
        <f>IF(COUNTBLANK(D7) &gt; 0, -1, 1)</f>
        <v>1</v>
      </c>
      <c r="H7" s="7" t="s">
        <v>65</v>
      </c>
      <c r="I7" s="8" t="s">
        <v>72</v>
      </c>
      <c r="J7" s="15" t="s">
        <v>13</v>
      </c>
      <c r="K7" s="10" t="s">
        <v>81</v>
      </c>
    </row>
    <row r="8" spans="1:11" x14ac:dyDescent="0.3">
      <c r="A8" s="1">
        <v>4</v>
      </c>
      <c r="B8" s="1">
        <v>1</v>
      </c>
      <c r="C8" s="1" t="s">
        <v>84</v>
      </c>
      <c r="D8" s="1" t="s">
        <v>86</v>
      </c>
      <c r="E8" s="10">
        <f>IF(COUNTBLANK(D8) &gt; 0, -1, 1)</f>
        <v>1</v>
      </c>
      <c r="H8" s="33" t="s">
        <v>66</v>
      </c>
      <c r="I8" s="32" t="s">
        <v>73</v>
      </c>
      <c r="J8" s="34" t="s">
        <v>12</v>
      </c>
      <c r="K8" s="35" t="s">
        <v>82</v>
      </c>
    </row>
    <row r="9" spans="1:11" x14ac:dyDescent="0.3">
      <c r="H9" s="33"/>
      <c r="I9" s="32"/>
      <c r="J9" s="34"/>
      <c r="K9" s="30"/>
    </row>
  </sheetData>
  <mergeCells count="12">
    <mergeCell ref="H3:H4"/>
    <mergeCell ref="H5:H6"/>
    <mergeCell ref="I5:I6"/>
    <mergeCell ref="J5:J6"/>
    <mergeCell ref="J8:J9"/>
    <mergeCell ref="I8:I9"/>
    <mergeCell ref="H8:H9"/>
    <mergeCell ref="K3:K4"/>
    <mergeCell ref="K5:K6"/>
    <mergeCell ref="K8:K9"/>
    <mergeCell ref="J3:J4"/>
    <mergeCell ref="I3:I4"/>
  </mergeCells>
  <phoneticPr fontId="6" type="noConversion"/>
  <conditionalFormatting sqref="E5:E8">
    <cfRule type="cellIs" dxfId="1" priority="1" operator="equal">
      <formula>1</formula>
    </cfRule>
    <cfRule type="cellIs" dxfId="0" priority="2" operator="equal">
      <formula>-1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0"/>
  <sheetViews>
    <sheetView zoomScaleNormal="100" workbookViewId="0">
      <selection activeCell="J18" sqref="J18"/>
    </sheetView>
  </sheetViews>
  <sheetFormatPr defaultRowHeight="16.5" x14ac:dyDescent="0.3"/>
  <cols>
    <col min="1" max="1" width="5.25" bestFit="1" customWidth="1"/>
    <col min="2" max="2" width="17.5" bestFit="1" customWidth="1"/>
    <col min="3" max="3" width="11.5" bestFit="1" customWidth="1"/>
    <col min="4" max="4" width="9.125" bestFit="1" customWidth="1"/>
    <col min="5" max="6" width="9.25" bestFit="1" customWidth="1"/>
    <col min="9" max="9" width="11.625" bestFit="1" customWidth="1"/>
    <col min="10" max="10" width="17.5" bestFit="1" customWidth="1"/>
    <col min="11" max="11" width="7.125" bestFit="1" customWidth="1"/>
    <col min="12" max="12" width="38.375" customWidth="1"/>
  </cols>
  <sheetData>
    <row r="2" spans="1:12" x14ac:dyDescent="0.3">
      <c r="A2" s="12" t="s">
        <v>0</v>
      </c>
      <c r="B2" s="24" t="s">
        <v>87</v>
      </c>
      <c r="C2" s="24" t="s">
        <v>64</v>
      </c>
      <c r="D2" s="24" t="s">
        <v>89</v>
      </c>
      <c r="E2" s="24" t="s">
        <v>91</v>
      </c>
      <c r="F2" s="24" t="s">
        <v>90</v>
      </c>
      <c r="I2" s="27" t="s">
        <v>33</v>
      </c>
      <c r="J2" s="28" t="s">
        <v>34</v>
      </c>
      <c r="K2" s="22" t="s">
        <v>35</v>
      </c>
      <c r="L2" s="19" t="s">
        <v>110</v>
      </c>
    </row>
    <row r="3" spans="1:12" ht="16.5" customHeight="1" x14ac:dyDescent="0.3">
      <c r="A3" s="11" t="s">
        <v>6</v>
      </c>
      <c r="B3" s="25" t="s">
        <v>88</v>
      </c>
      <c r="C3" s="25" t="s">
        <v>95</v>
      </c>
      <c r="D3" s="25" t="s">
        <v>92</v>
      </c>
      <c r="E3" s="25" t="s">
        <v>93</v>
      </c>
      <c r="F3" s="25" t="s">
        <v>94</v>
      </c>
      <c r="I3" s="37" t="s">
        <v>87</v>
      </c>
      <c r="J3" s="38" t="s">
        <v>88</v>
      </c>
      <c r="K3" s="34" t="s">
        <v>12</v>
      </c>
      <c r="L3" s="29" t="s">
        <v>112</v>
      </c>
    </row>
    <row r="4" spans="1:12" x14ac:dyDescent="0.3">
      <c r="A4" s="16" t="s">
        <v>12</v>
      </c>
      <c r="B4" s="16" t="s">
        <v>12</v>
      </c>
      <c r="C4" s="16" t="s">
        <v>13</v>
      </c>
      <c r="D4" s="16" t="s">
        <v>15</v>
      </c>
      <c r="E4" s="16" t="s">
        <v>14</v>
      </c>
      <c r="F4" s="16" t="s">
        <v>14</v>
      </c>
      <c r="I4" s="37"/>
      <c r="J4" s="38"/>
      <c r="K4" s="34"/>
      <c r="L4" s="29"/>
    </row>
    <row r="5" spans="1:12" x14ac:dyDescent="0.3">
      <c r="A5" s="13">
        <v>1</v>
      </c>
      <c r="B5" s="13">
        <v>1001</v>
      </c>
      <c r="C5" s="13" t="s">
        <v>96</v>
      </c>
      <c r="D5" s="13">
        <v>1.8</v>
      </c>
      <c r="E5" s="13">
        <v>5</v>
      </c>
      <c r="F5" s="13">
        <v>2</v>
      </c>
      <c r="I5" s="37"/>
      <c r="J5" s="38"/>
      <c r="K5" s="34"/>
      <c r="L5" s="29"/>
    </row>
    <row r="6" spans="1:12" x14ac:dyDescent="0.3">
      <c r="A6" s="13">
        <v>2</v>
      </c>
      <c r="B6" s="13">
        <v>1002</v>
      </c>
      <c r="C6" s="13" t="s">
        <v>97</v>
      </c>
      <c r="D6" s="13">
        <v>3.5</v>
      </c>
      <c r="E6" s="13">
        <v>5</v>
      </c>
      <c r="F6" s="13">
        <v>2</v>
      </c>
      <c r="I6" s="37"/>
      <c r="J6" s="38"/>
      <c r="K6" s="34"/>
      <c r="L6" s="29"/>
    </row>
    <row r="7" spans="1:12" x14ac:dyDescent="0.3">
      <c r="A7" s="13">
        <v>3</v>
      </c>
      <c r="B7" s="13">
        <v>1101</v>
      </c>
      <c r="C7" s="13" t="s">
        <v>102</v>
      </c>
      <c r="D7" s="13">
        <v>3.5</v>
      </c>
      <c r="E7" s="13">
        <v>0.5</v>
      </c>
      <c r="F7" s="13">
        <v>3.5</v>
      </c>
      <c r="I7" s="24" t="s">
        <v>64</v>
      </c>
      <c r="J7" s="25" t="s">
        <v>95</v>
      </c>
      <c r="K7" s="22" t="s">
        <v>13</v>
      </c>
      <c r="L7" s="19" t="s">
        <v>111</v>
      </c>
    </row>
    <row r="8" spans="1:12" x14ac:dyDescent="0.3">
      <c r="A8" s="13">
        <v>4</v>
      </c>
      <c r="B8" s="13">
        <v>1201</v>
      </c>
      <c r="C8" s="13" t="s">
        <v>103</v>
      </c>
      <c r="D8" s="13">
        <v>1.5</v>
      </c>
      <c r="E8" s="13">
        <v>5</v>
      </c>
      <c r="F8" s="13">
        <v>1.5</v>
      </c>
      <c r="I8" s="24" t="s">
        <v>89</v>
      </c>
      <c r="J8" s="25" t="s">
        <v>92</v>
      </c>
      <c r="K8" s="22" t="s">
        <v>15</v>
      </c>
      <c r="L8" s="19" t="s">
        <v>113</v>
      </c>
    </row>
    <row r="9" spans="1:12" x14ac:dyDescent="0.3">
      <c r="A9" s="13">
        <v>5</v>
      </c>
      <c r="B9" s="13">
        <v>1202</v>
      </c>
      <c r="C9" s="13" t="s">
        <v>104</v>
      </c>
      <c r="D9" s="13">
        <v>2</v>
      </c>
      <c r="E9" s="13">
        <v>5</v>
      </c>
      <c r="F9" s="13">
        <v>1</v>
      </c>
      <c r="I9" s="24" t="s">
        <v>91</v>
      </c>
      <c r="J9" s="25" t="s">
        <v>93</v>
      </c>
      <c r="K9" s="22" t="s">
        <v>14</v>
      </c>
      <c r="L9" s="19" t="s">
        <v>115</v>
      </c>
    </row>
    <row r="10" spans="1:12" x14ac:dyDescent="0.3">
      <c r="A10" s="13">
        <v>6</v>
      </c>
      <c r="B10" s="13">
        <v>1203</v>
      </c>
      <c r="C10" s="13" t="s">
        <v>105</v>
      </c>
      <c r="D10" s="13">
        <v>0.1</v>
      </c>
      <c r="E10" s="13">
        <v>5</v>
      </c>
      <c r="F10" s="13">
        <v>0.1</v>
      </c>
      <c r="I10" s="24" t="s">
        <v>90</v>
      </c>
      <c r="J10" s="25" t="s">
        <v>94</v>
      </c>
      <c r="K10" s="22" t="s">
        <v>14</v>
      </c>
      <c r="L10" s="19" t="s">
        <v>114</v>
      </c>
    </row>
    <row r="11" spans="1:12" x14ac:dyDescent="0.3">
      <c r="A11" s="13">
        <v>7</v>
      </c>
      <c r="B11" s="13">
        <v>2001</v>
      </c>
      <c r="C11" s="13" t="s">
        <v>99</v>
      </c>
      <c r="D11" s="13">
        <v>1</v>
      </c>
      <c r="E11" s="13">
        <v>5</v>
      </c>
      <c r="F11" s="13">
        <v>1</v>
      </c>
    </row>
    <row r="12" spans="1:12" x14ac:dyDescent="0.3">
      <c r="A12" s="13">
        <v>8</v>
      </c>
      <c r="B12" s="13">
        <v>2101</v>
      </c>
      <c r="C12" s="13" t="s">
        <v>100</v>
      </c>
      <c r="D12" s="13">
        <v>4</v>
      </c>
      <c r="E12" s="13">
        <v>5</v>
      </c>
      <c r="F12" s="13">
        <v>4</v>
      </c>
    </row>
    <row r="13" spans="1:12" x14ac:dyDescent="0.3">
      <c r="A13" s="13">
        <v>9</v>
      </c>
      <c r="B13" s="13">
        <v>2102</v>
      </c>
      <c r="C13" s="13" t="s">
        <v>101</v>
      </c>
      <c r="D13" s="13">
        <v>2.5</v>
      </c>
      <c r="E13" s="13">
        <v>5</v>
      </c>
      <c r="F13" s="13">
        <v>3</v>
      </c>
    </row>
    <row r="14" spans="1:12" x14ac:dyDescent="0.3">
      <c r="A14" s="13">
        <v>10</v>
      </c>
      <c r="B14" s="13">
        <v>2103</v>
      </c>
      <c r="C14" s="13" t="s">
        <v>106</v>
      </c>
      <c r="D14" s="13">
        <v>2</v>
      </c>
      <c r="E14" s="13">
        <v>5</v>
      </c>
      <c r="F14" s="13">
        <v>2.5</v>
      </c>
    </row>
    <row r="15" spans="1:12" x14ac:dyDescent="0.3">
      <c r="A15" s="13">
        <v>11</v>
      </c>
      <c r="B15" s="13">
        <v>2201</v>
      </c>
      <c r="C15" s="13" t="s">
        <v>107</v>
      </c>
      <c r="D15" s="13">
        <v>0.2</v>
      </c>
      <c r="E15" s="13">
        <v>5</v>
      </c>
      <c r="F15" s="13">
        <v>0.2</v>
      </c>
    </row>
    <row r="16" spans="1:12" x14ac:dyDescent="0.3">
      <c r="A16" s="13">
        <v>12</v>
      </c>
      <c r="B16" s="13">
        <v>2202</v>
      </c>
      <c r="C16" s="13" t="s">
        <v>108</v>
      </c>
      <c r="D16" s="13">
        <v>0.2</v>
      </c>
      <c r="E16" s="13">
        <v>5</v>
      </c>
      <c r="F16" s="13">
        <v>0.2</v>
      </c>
    </row>
    <row r="17" spans="1:6" x14ac:dyDescent="0.3">
      <c r="A17" s="13">
        <v>13</v>
      </c>
      <c r="B17" s="13">
        <v>3001</v>
      </c>
      <c r="C17" s="13" t="s">
        <v>98</v>
      </c>
      <c r="D17" s="13">
        <v>2</v>
      </c>
      <c r="E17" s="13">
        <v>5</v>
      </c>
      <c r="F17" s="13">
        <v>1.5</v>
      </c>
    </row>
    <row r="18" spans="1:6" x14ac:dyDescent="0.3">
      <c r="A18" s="23"/>
      <c r="B18" s="23"/>
    </row>
    <row r="19" spans="1:6" x14ac:dyDescent="0.3">
      <c r="A19" s="23"/>
      <c r="B19" s="23"/>
      <c r="D19" s="23"/>
      <c r="E19" s="23"/>
      <c r="F19" s="23"/>
    </row>
    <row r="20" spans="1:6" x14ac:dyDescent="0.3">
      <c r="A20" s="23"/>
    </row>
  </sheetData>
  <mergeCells count="4">
    <mergeCell ref="L3:L6"/>
    <mergeCell ref="I3:I6"/>
    <mergeCell ref="J3:J6"/>
    <mergeCell ref="K3:K6"/>
  </mergeCells>
  <phoneticPr fontId="6" type="noConversion"/>
  <pageMargins left="0.7" right="0.7" top="0.75" bottom="0.75" header="0.3" footer="0.3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9"/>
  <sheetViews>
    <sheetView zoomScaleNormal="100" workbookViewId="0">
      <selection activeCell="I16" sqref="I16"/>
    </sheetView>
  </sheetViews>
  <sheetFormatPr defaultRowHeight="16.5" x14ac:dyDescent="0.3"/>
  <cols>
    <col min="1" max="1" width="5.25" bestFit="1" customWidth="1"/>
    <col min="2" max="2" width="17.5" bestFit="1" customWidth="1"/>
    <col min="3" max="3" width="15.625" bestFit="1" customWidth="1"/>
    <col min="4" max="6" width="15.875" bestFit="1" customWidth="1"/>
    <col min="9" max="9" width="15.625" bestFit="1" customWidth="1"/>
    <col min="10" max="10" width="17.5" bestFit="1" customWidth="1"/>
    <col min="11" max="11" width="7.125" bestFit="1" customWidth="1"/>
    <col min="12" max="12" width="39.75" customWidth="1"/>
  </cols>
  <sheetData>
    <row r="2" spans="1:12" x14ac:dyDescent="0.3">
      <c r="A2" s="12" t="s">
        <v>0</v>
      </c>
      <c r="B2" s="24" t="s">
        <v>87</v>
      </c>
      <c r="C2" s="24" t="s">
        <v>64</v>
      </c>
      <c r="D2" s="12" t="s">
        <v>17</v>
      </c>
      <c r="E2" s="12" t="s">
        <v>18</v>
      </c>
      <c r="F2" s="12" t="s">
        <v>19</v>
      </c>
      <c r="I2" s="27" t="s">
        <v>33</v>
      </c>
      <c r="J2" s="28" t="s">
        <v>34</v>
      </c>
      <c r="K2" s="22" t="s">
        <v>35</v>
      </c>
      <c r="L2" s="19" t="s">
        <v>110</v>
      </c>
    </row>
    <row r="3" spans="1:12" x14ac:dyDescent="0.3">
      <c r="A3" s="11" t="s">
        <v>6</v>
      </c>
      <c r="B3" s="25" t="s">
        <v>88</v>
      </c>
      <c r="C3" s="25" t="s">
        <v>95</v>
      </c>
      <c r="D3" s="11" t="s">
        <v>16</v>
      </c>
      <c r="E3" s="11" t="s">
        <v>20</v>
      </c>
      <c r="F3" s="11" t="s">
        <v>21</v>
      </c>
      <c r="I3" s="37" t="s">
        <v>87</v>
      </c>
      <c r="J3" s="38" t="s">
        <v>88</v>
      </c>
      <c r="K3" s="34" t="s">
        <v>12</v>
      </c>
      <c r="L3" s="29" t="s">
        <v>112</v>
      </c>
    </row>
    <row r="4" spans="1:12" x14ac:dyDescent="0.3">
      <c r="A4" s="16" t="s">
        <v>12</v>
      </c>
      <c r="B4" s="16" t="s">
        <v>12</v>
      </c>
      <c r="C4" s="16" t="s">
        <v>13</v>
      </c>
      <c r="D4" s="16" t="s">
        <v>15</v>
      </c>
      <c r="E4" s="16" t="s">
        <v>14</v>
      </c>
      <c r="F4" s="16" t="s">
        <v>14</v>
      </c>
      <c r="I4" s="37"/>
      <c r="J4" s="38"/>
      <c r="K4" s="34"/>
      <c r="L4" s="29"/>
    </row>
    <row r="5" spans="1:12" x14ac:dyDescent="0.3">
      <c r="A5" s="13">
        <v>1</v>
      </c>
      <c r="B5" s="13">
        <v>2001</v>
      </c>
      <c r="C5" s="13" t="s">
        <v>99</v>
      </c>
      <c r="D5" s="13">
        <v>32.5</v>
      </c>
      <c r="E5" s="13">
        <v>0</v>
      </c>
      <c r="F5" s="26">
        <v>-26.5</v>
      </c>
      <c r="I5" s="37"/>
      <c r="J5" s="38"/>
      <c r="K5" s="34"/>
      <c r="L5" s="29"/>
    </row>
    <row r="6" spans="1:12" x14ac:dyDescent="0.3">
      <c r="A6" s="13">
        <v>2</v>
      </c>
      <c r="B6" s="13">
        <v>2001</v>
      </c>
      <c r="C6" s="13" t="s">
        <v>99</v>
      </c>
      <c r="D6" s="13">
        <v>40.9</v>
      </c>
      <c r="E6" s="26">
        <v>0</v>
      </c>
      <c r="F6" s="26">
        <v>-34.5</v>
      </c>
      <c r="I6" s="37"/>
      <c r="J6" s="38"/>
      <c r="K6" s="34"/>
      <c r="L6" s="29"/>
    </row>
    <row r="7" spans="1:12" x14ac:dyDescent="0.3">
      <c r="A7" s="13">
        <v>3</v>
      </c>
      <c r="B7" s="13">
        <v>2001</v>
      </c>
      <c r="C7" s="13" t="s">
        <v>99</v>
      </c>
      <c r="D7" s="13">
        <v>20.5</v>
      </c>
      <c r="E7" s="13">
        <v>0</v>
      </c>
      <c r="F7" s="13">
        <v>-14.7</v>
      </c>
      <c r="I7" s="24" t="s">
        <v>64</v>
      </c>
      <c r="J7" s="25" t="s">
        <v>95</v>
      </c>
      <c r="K7" s="22" t="s">
        <v>13</v>
      </c>
      <c r="L7" s="19" t="s">
        <v>111</v>
      </c>
    </row>
    <row r="8" spans="1:12" x14ac:dyDescent="0.3">
      <c r="A8" s="13">
        <v>4</v>
      </c>
      <c r="B8" s="13">
        <v>2001</v>
      </c>
      <c r="C8" s="13" t="s">
        <v>99</v>
      </c>
      <c r="D8" s="13">
        <v>39.5</v>
      </c>
      <c r="E8" s="13">
        <v>0</v>
      </c>
      <c r="F8" s="13">
        <v>-1.7</v>
      </c>
      <c r="I8" s="21" t="s">
        <v>17</v>
      </c>
      <c r="J8" s="20" t="s">
        <v>16</v>
      </c>
      <c r="K8" s="22" t="s">
        <v>15</v>
      </c>
      <c r="L8" s="19" t="s">
        <v>116</v>
      </c>
    </row>
    <row r="9" spans="1:12" x14ac:dyDescent="0.3">
      <c r="A9" s="13">
        <v>5</v>
      </c>
      <c r="B9" s="13">
        <v>1101</v>
      </c>
      <c r="C9" s="13" t="s">
        <v>102</v>
      </c>
      <c r="D9" s="13">
        <v>-28</v>
      </c>
      <c r="E9" s="13">
        <v>0</v>
      </c>
      <c r="F9" s="26">
        <v>-30.5</v>
      </c>
      <c r="I9" s="21" t="s">
        <v>18</v>
      </c>
      <c r="J9" s="20" t="s">
        <v>20</v>
      </c>
      <c r="K9" s="22" t="s">
        <v>14</v>
      </c>
      <c r="L9" s="19" t="s">
        <v>117</v>
      </c>
    </row>
    <row r="10" spans="1:12" x14ac:dyDescent="0.3">
      <c r="A10" s="13">
        <v>6</v>
      </c>
      <c r="B10" s="13">
        <v>2101</v>
      </c>
      <c r="C10" s="13" t="s">
        <v>100</v>
      </c>
      <c r="D10" s="13">
        <v>37.700000000000003</v>
      </c>
      <c r="E10" s="13">
        <v>0</v>
      </c>
      <c r="F10" s="13">
        <v>-37.299999999999997</v>
      </c>
      <c r="I10" s="21" t="s">
        <v>19</v>
      </c>
      <c r="J10" s="20" t="s">
        <v>21</v>
      </c>
      <c r="K10" s="22" t="s">
        <v>14</v>
      </c>
      <c r="L10" s="19" t="s">
        <v>118</v>
      </c>
    </row>
    <row r="11" spans="1:12" x14ac:dyDescent="0.3">
      <c r="A11" s="13">
        <v>7</v>
      </c>
      <c r="B11" s="13">
        <v>2101</v>
      </c>
      <c r="C11" s="13" t="s">
        <v>100</v>
      </c>
      <c r="D11" s="13">
        <v>-33.9</v>
      </c>
      <c r="E11" s="13">
        <v>0</v>
      </c>
      <c r="F11" s="13">
        <v>28.5</v>
      </c>
    </row>
    <row r="12" spans="1:12" x14ac:dyDescent="0.3">
      <c r="A12" s="13">
        <v>8</v>
      </c>
      <c r="B12" s="13">
        <v>2101</v>
      </c>
      <c r="C12" s="13" t="s">
        <v>100</v>
      </c>
      <c r="D12" s="13">
        <v>31.9</v>
      </c>
      <c r="E12" s="13">
        <v>0</v>
      </c>
      <c r="F12" s="13">
        <v>11</v>
      </c>
    </row>
    <row r="13" spans="1:12" x14ac:dyDescent="0.3">
      <c r="A13" s="13">
        <v>9</v>
      </c>
      <c r="B13" s="13">
        <v>2101</v>
      </c>
      <c r="C13" s="13" t="s">
        <v>100</v>
      </c>
      <c r="D13" s="13">
        <v>-18.2</v>
      </c>
      <c r="E13" s="13">
        <v>0</v>
      </c>
      <c r="F13" s="13">
        <v>37.9</v>
      </c>
    </row>
    <row r="14" spans="1:12" x14ac:dyDescent="0.3">
      <c r="A14" s="13">
        <v>10</v>
      </c>
      <c r="B14" s="13">
        <v>2101</v>
      </c>
      <c r="C14" s="13" t="s">
        <v>100</v>
      </c>
      <c r="D14" s="13">
        <v>-16.600000000000001</v>
      </c>
      <c r="E14" s="13">
        <v>0</v>
      </c>
      <c r="F14" s="13">
        <v>-29.3</v>
      </c>
    </row>
    <row r="15" spans="1:12" x14ac:dyDescent="0.3">
      <c r="A15" s="13">
        <v>11</v>
      </c>
      <c r="B15" s="13">
        <v>2101</v>
      </c>
      <c r="C15" s="13" t="s">
        <v>100</v>
      </c>
      <c r="D15" s="13">
        <v>23</v>
      </c>
      <c r="E15" s="13">
        <v>0</v>
      </c>
      <c r="F15" s="13">
        <v>40.4</v>
      </c>
    </row>
    <row r="16" spans="1:12" x14ac:dyDescent="0.3">
      <c r="A16" s="13">
        <v>12</v>
      </c>
      <c r="B16" s="13">
        <v>2201</v>
      </c>
      <c r="C16" s="13" t="s">
        <v>107</v>
      </c>
      <c r="D16" s="13">
        <v>11.7</v>
      </c>
      <c r="E16" s="13">
        <v>0</v>
      </c>
      <c r="F16" s="13">
        <v>37.299999999999997</v>
      </c>
    </row>
    <row r="17" spans="1:6" x14ac:dyDescent="0.3">
      <c r="A17" s="13">
        <v>13</v>
      </c>
      <c r="B17" s="13">
        <v>2201</v>
      </c>
      <c r="C17" s="13" t="s">
        <v>107</v>
      </c>
      <c r="D17" s="13">
        <v>13</v>
      </c>
      <c r="E17" s="13">
        <v>0</v>
      </c>
      <c r="F17" s="13">
        <v>36.299999999999997</v>
      </c>
    </row>
    <row r="18" spans="1:6" x14ac:dyDescent="0.3">
      <c r="A18" s="13">
        <v>14</v>
      </c>
      <c r="B18" s="13">
        <v>2201</v>
      </c>
      <c r="C18" s="13" t="s">
        <v>107</v>
      </c>
      <c r="D18" s="13">
        <v>1.8</v>
      </c>
      <c r="E18" s="13">
        <v>0</v>
      </c>
      <c r="F18" s="13">
        <v>41.7</v>
      </c>
    </row>
    <row r="19" spans="1:6" x14ac:dyDescent="0.3">
      <c r="A19" s="13">
        <v>15</v>
      </c>
      <c r="B19" s="13">
        <v>2201</v>
      </c>
      <c r="C19" s="13" t="s">
        <v>107</v>
      </c>
      <c r="D19" s="13">
        <v>-3.1</v>
      </c>
      <c r="E19" s="13">
        <v>0</v>
      </c>
      <c r="F19" s="13">
        <v>36.799999999999997</v>
      </c>
    </row>
    <row r="20" spans="1:6" x14ac:dyDescent="0.3">
      <c r="A20" s="13">
        <v>16</v>
      </c>
      <c r="B20" s="13">
        <v>2201</v>
      </c>
      <c r="C20" s="13" t="s">
        <v>107</v>
      </c>
      <c r="D20" s="13">
        <v>-3.1</v>
      </c>
      <c r="E20" s="13">
        <v>0</v>
      </c>
      <c r="F20" s="13">
        <v>-12.4</v>
      </c>
    </row>
    <row r="21" spans="1:6" x14ac:dyDescent="0.3">
      <c r="A21" s="13">
        <v>17</v>
      </c>
      <c r="B21" s="13">
        <v>2201</v>
      </c>
      <c r="C21" s="13" t="s">
        <v>107</v>
      </c>
      <c r="D21" s="13">
        <v>14.7</v>
      </c>
      <c r="E21" s="13">
        <v>0</v>
      </c>
      <c r="F21" s="13">
        <v>4.4000000000000004</v>
      </c>
    </row>
    <row r="22" spans="1:6" x14ac:dyDescent="0.3">
      <c r="A22" s="13">
        <v>18</v>
      </c>
      <c r="B22" s="13">
        <v>2201</v>
      </c>
      <c r="C22" s="13" t="s">
        <v>107</v>
      </c>
      <c r="D22" s="13">
        <v>-2.2999999999999998</v>
      </c>
      <c r="E22" s="13">
        <v>0</v>
      </c>
      <c r="F22" s="13">
        <v>43.9</v>
      </c>
    </row>
    <row r="23" spans="1:6" x14ac:dyDescent="0.3">
      <c r="A23" s="13">
        <v>19</v>
      </c>
      <c r="B23" s="13">
        <v>2201</v>
      </c>
      <c r="C23" s="13" t="s">
        <v>107</v>
      </c>
      <c r="D23" s="13">
        <v>-1.7</v>
      </c>
      <c r="E23" s="13">
        <v>0</v>
      </c>
      <c r="F23" s="13">
        <v>-18</v>
      </c>
    </row>
    <row r="24" spans="1:6" x14ac:dyDescent="0.3">
      <c r="A24" s="13">
        <v>20</v>
      </c>
      <c r="B24" s="13">
        <v>2201</v>
      </c>
      <c r="C24" s="13" t="s">
        <v>107</v>
      </c>
      <c r="D24" s="13">
        <v>-11.5</v>
      </c>
      <c r="E24" s="13">
        <v>0</v>
      </c>
      <c r="F24" s="13">
        <v>30.9</v>
      </c>
    </row>
    <row r="25" spans="1:6" x14ac:dyDescent="0.3">
      <c r="A25" s="13">
        <v>21</v>
      </c>
      <c r="B25" s="13">
        <v>2201</v>
      </c>
      <c r="C25" s="13" t="s">
        <v>107</v>
      </c>
      <c r="D25" s="13">
        <v>42.8</v>
      </c>
      <c r="E25" s="13">
        <v>0</v>
      </c>
      <c r="F25" s="13">
        <v>26.1</v>
      </c>
    </row>
    <row r="26" spans="1:6" x14ac:dyDescent="0.3">
      <c r="A26" s="13">
        <v>22</v>
      </c>
      <c r="B26" s="13">
        <v>2202</v>
      </c>
      <c r="C26" s="13" t="s">
        <v>108</v>
      </c>
      <c r="D26" s="13">
        <v>-20.399999999999999</v>
      </c>
      <c r="E26" s="13">
        <v>0</v>
      </c>
      <c r="F26" s="13">
        <v>-19.2</v>
      </c>
    </row>
    <row r="27" spans="1:6" x14ac:dyDescent="0.3">
      <c r="A27" s="13">
        <v>23</v>
      </c>
      <c r="B27" s="13">
        <v>2202</v>
      </c>
      <c r="C27" s="13" t="s">
        <v>108</v>
      </c>
      <c r="D27" s="13">
        <v>-20.7</v>
      </c>
      <c r="E27" s="13">
        <v>0</v>
      </c>
      <c r="F27" s="13">
        <v>-20.5</v>
      </c>
    </row>
    <row r="28" spans="1:6" x14ac:dyDescent="0.3">
      <c r="A28" s="13">
        <v>24</v>
      </c>
      <c r="B28" s="13">
        <v>2202</v>
      </c>
      <c r="C28" s="13" t="s">
        <v>108</v>
      </c>
      <c r="D28" s="13">
        <v>-18.100000000000001</v>
      </c>
      <c r="E28" s="13">
        <v>0</v>
      </c>
      <c r="F28" s="13">
        <v>-13.9</v>
      </c>
    </row>
    <row r="29" spans="1:6" x14ac:dyDescent="0.3">
      <c r="A29" s="13">
        <v>25</v>
      </c>
      <c r="B29" s="13">
        <v>2202</v>
      </c>
      <c r="C29" s="13" t="s">
        <v>108</v>
      </c>
      <c r="D29" s="13">
        <v>-12.8</v>
      </c>
      <c r="E29" s="13">
        <v>0</v>
      </c>
      <c r="F29" s="13">
        <v>-31.1</v>
      </c>
    </row>
    <row r="30" spans="1:6" x14ac:dyDescent="0.3">
      <c r="A30" s="13">
        <v>26</v>
      </c>
      <c r="B30" s="13">
        <v>2202</v>
      </c>
      <c r="C30" s="13" t="s">
        <v>108</v>
      </c>
      <c r="D30" s="13">
        <v>-31</v>
      </c>
      <c r="E30" s="13">
        <v>0</v>
      </c>
      <c r="F30" s="13">
        <v>25.3</v>
      </c>
    </row>
    <row r="31" spans="1:6" x14ac:dyDescent="0.3">
      <c r="A31" s="13">
        <v>27</v>
      </c>
      <c r="B31" s="13">
        <v>2202</v>
      </c>
      <c r="C31" s="13" t="s">
        <v>108</v>
      </c>
      <c r="D31" s="13">
        <v>-37.700000000000003</v>
      </c>
      <c r="E31" s="13">
        <v>0</v>
      </c>
      <c r="F31" s="13">
        <v>25.5</v>
      </c>
    </row>
    <row r="32" spans="1:6" x14ac:dyDescent="0.3">
      <c r="A32" s="13">
        <v>28</v>
      </c>
      <c r="B32" s="13">
        <v>2202</v>
      </c>
      <c r="C32" s="13" t="s">
        <v>108</v>
      </c>
      <c r="D32" s="13">
        <v>-34.1</v>
      </c>
      <c r="E32" s="13">
        <v>0</v>
      </c>
      <c r="F32" s="13">
        <v>24.4</v>
      </c>
    </row>
    <row r="33" spans="1:6" x14ac:dyDescent="0.3">
      <c r="A33" s="13">
        <v>29</v>
      </c>
      <c r="B33" s="13">
        <v>2202</v>
      </c>
      <c r="C33" s="13" t="s">
        <v>108</v>
      </c>
      <c r="D33" s="13">
        <v>-8.6999999999999993</v>
      </c>
      <c r="E33" s="13">
        <v>0</v>
      </c>
      <c r="F33" s="13">
        <v>-37</v>
      </c>
    </row>
    <row r="34" spans="1:6" x14ac:dyDescent="0.3">
      <c r="A34" s="13">
        <v>30</v>
      </c>
      <c r="B34" s="13">
        <v>2202</v>
      </c>
      <c r="C34" s="13" t="s">
        <v>108</v>
      </c>
      <c r="D34" s="13">
        <v>-7.6</v>
      </c>
      <c r="E34" s="13">
        <v>0</v>
      </c>
      <c r="F34" s="13">
        <v>-38.700000000000003</v>
      </c>
    </row>
    <row r="35" spans="1:6" x14ac:dyDescent="0.3">
      <c r="A35" s="13">
        <v>31</v>
      </c>
      <c r="B35" s="13">
        <v>2202</v>
      </c>
      <c r="C35" s="13" t="s">
        <v>108</v>
      </c>
      <c r="D35" s="13">
        <v>-19.8</v>
      </c>
      <c r="E35" s="13">
        <v>0</v>
      </c>
      <c r="F35" s="13">
        <v>-29</v>
      </c>
    </row>
    <row r="36" spans="1:6" x14ac:dyDescent="0.3">
      <c r="A36" s="13">
        <v>32</v>
      </c>
      <c r="B36" s="13">
        <v>1201</v>
      </c>
      <c r="C36" s="13" t="s">
        <v>103</v>
      </c>
      <c r="D36" s="13">
        <v>29.9</v>
      </c>
      <c r="E36" s="13">
        <v>0</v>
      </c>
      <c r="F36" s="13">
        <v>-33.4</v>
      </c>
    </row>
    <row r="37" spans="1:6" x14ac:dyDescent="0.3">
      <c r="A37" s="13">
        <v>33</v>
      </c>
      <c r="B37" s="13">
        <v>1201</v>
      </c>
      <c r="C37" s="13" t="s">
        <v>103</v>
      </c>
      <c r="D37" s="13">
        <v>35.799999999999997</v>
      </c>
      <c r="E37" s="13">
        <v>0</v>
      </c>
      <c r="F37" s="13">
        <v>-24.1</v>
      </c>
    </row>
    <row r="38" spans="1:6" x14ac:dyDescent="0.3">
      <c r="A38" s="13">
        <v>34</v>
      </c>
      <c r="B38" s="13">
        <v>1202</v>
      </c>
      <c r="C38" s="13" t="s">
        <v>104</v>
      </c>
      <c r="D38" s="13">
        <v>29.5</v>
      </c>
      <c r="E38" s="13">
        <v>0</v>
      </c>
      <c r="F38" s="13">
        <v>-12.7</v>
      </c>
    </row>
    <row r="39" spans="1:6" x14ac:dyDescent="0.3">
      <c r="A39" s="13">
        <v>35</v>
      </c>
      <c r="B39" s="13">
        <v>1202</v>
      </c>
      <c r="C39" s="13" t="s">
        <v>104</v>
      </c>
      <c r="D39" s="13">
        <v>28.1</v>
      </c>
      <c r="E39" s="13">
        <v>0</v>
      </c>
      <c r="F39" s="13">
        <v>-18.8</v>
      </c>
    </row>
    <row r="40" spans="1:6" x14ac:dyDescent="0.3">
      <c r="A40" s="13">
        <v>36</v>
      </c>
      <c r="B40" s="13">
        <v>1202</v>
      </c>
      <c r="C40" s="13" t="s">
        <v>104</v>
      </c>
      <c r="D40" s="13">
        <v>22.9</v>
      </c>
      <c r="E40" s="13">
        <v>0</v>
      </c>
      <c r="F40" s="13">
        <v>-15.2</v>
      </c>
    </row>
    <row r="41" spans="1:6" x14ac:dyDescent="0.3">
      <c r="A41" s="13">
        <v>37</v>
      </c>
      <c r="B41" s="13">
        <v>1203</v>
      </c>
      <c r="C41" s="13" t="s">
        <v>105</v>
      </c>
      <c r="D41" s="13">
        <v>7</v>
      </c>
      <c r="E41" s="13">
        <v>0</v>
      </c>
      <c r="F41" s="13">
        <v>21.3</v>
      </c>
    </row>
    <row r="42" spans="1:6" x14ac:dyDescent="0.3">
      <c r="A42" s="13">
        <v>38</v>
      </c>
      <c r="B42" s="13">
        <v>1001</v>
      </c>
      <c r="C42" s="13" t="s">
        <v>96</v>
      </c>
      <c r="D42" s="13">
        <v>8</v>
      </c>
      <c r="E42" s="13">
        <v>0</v>
      </c>
      <c r="F42" s="13">
        <v>7.5</v>
      </c>
    </row>
    <row r="43" spans="1:6" x14ac:dyDescent="0.3">
      <c r="A43" s="13">
        <v>39</v>
      </c>
      <c r="B43" s="13">
        <v>1001</v>
      </c>
      <c r="C43" s="13" t="s">
        <v>96</v>
      </c>
      <c r="D43" s="13">
        <v>13.6</v>
      </c>
      <c r="E43" s="13">
        <v>0</v>
      </c>
      <c r="F43" s="13">
        <v>14.8</v>
      </c>
    </row>
    <row r="44" spans="1:6" x14ac:dyDescent="0.3">
      <c r="A44" s="13">
        <v>40</v>
      </c>
      <c r="B44" s="13">
        <v>1001</v>
      </c>
      <c r="C44" s="13" t="s">
        <v>96</v>
      </c>
      <c r="D44" s="13">
        <v>0</v>
      </c>
      <c r="E44" s="13">
        <v>0</v>
      </c>
      <c r="F44" s="13">
        <v>35</v>
      </c>
    </row>
    <row r="45" spans="1:6" x14ac:dyDescent="0.3">
      <c r="A45" s="13">
        <v>41</v>
      </c>
      <c r="B45" s="13">
        <v>1001</v>
      </c>
      <c r="C45" s="13" t="s">
        <v>96</v>
      </c>
      <c r="D45" s="13">
        <v>-22.5</v>
      </c>
      <c r="E45" s="13">
        <v>0</v>
      </c>
      <c r="F45" s="13">
        <v>-25.2</v>
      </c>
    </row>
    <row r="46" spans="1:6" x14ac:dyDescent="0.3">
      <c r="A46" s="13">
        <v>42</v>
      </c>
      <c r="B46" s="13">
        <v>1001</v>
      </c>
      <c r="C46" s="13" t="s">
        <v>96</v>
      </c>
      <c r="D46" s="13">
        <v>-35</v>
      </c>
      <c r="E46" s="13">
        <v>0</v>
      </c>
      <c r="F46" s="13">
        <v>-2</v>
      </c>
    </row>
    <row r="47" spans="1:6" x14ac:dyDescent="0.3">
      <c r="A47" s="13">
        <v>43</v>
      </c>
      <c r="B47" s="13">
        <v>1001</v>
      </c>
      <c r="C47" s="13" t="s">
        <v>96</v>
      </c>
      <c r="D47" s="13">
        <v>-35</v>
      </c>
      <c r="E47" s="13">
        <v>0</v>
      </c>
      <c r="F47" s="13">
        <v>6.5</v>
      </c>
    </row>
    <row r="48" spans="1:6" x14ac:dyDescent="0.3">
      <c r="A48" s="13">
        <v>44</v>
      </c>
      <c r="B48" s="13">
        <v>1001</v>
      </c>
      <c r="C48" s="13" t="s">
        <v>96</v>
      </c>
      <c r="D48" s="13">
        <v>-26</v>
      </c>
      <c r="E48" s="13">
        <v>0</v>
      </c>
      <c r="F48" s="13">
        <v>0</v>
      </c>
    </row>
    <row r="49" spans="1:6" x14ac:dyDescent="0.3">
      <c r="A49" s="13">
        <v>45</v>
      </c>
      <c r="B49" s="13">
        <v>1001</v>
      </c>
      <c r="C49" s="13" t="s">
        <v>96</v>
      </c>
      <c r="D49" s="13">
        <v>-26</v>
      </c>
      <c r="E49" s="13">
        <v>0</v>
      </c>
      <c r="F49" s="13">
        <v>8.5</v>
      </c>
    </row>
    <row r="50" spans="1:6" x14ac:dyDescent="0.3">
      <c r="A50" s="13">
        <v>46</v>
      </c>
      <c r="B50" s="13">
        <v>1002</v>
      </c>
      <c r="C50" s="13" t="s">
        <v>97</v>
      </c>
      <c r="D50" s="13">
        <v>0.8</v>
      </c>
      <c r="E50" s="13">
        <v>0</v>
      </c>
      <c r="F50" s="13">
        <v>10</v>
      </c>
    </row>
    <row r="51" spans="1:6" x14ac:dyDescent="0.3">
      <c r="A51" s="13">
        <v>47</v>
      </c>
      <c r="B51" s="13">
        <v>1002</v>
      </c>
      <c r="C51" s="13" t="s">
        <v>97</v>
      </c>
      <c r="D51" s="13">
        <v>-11.3</v>
      </c>
      <c r="E51" s="13">
        <v>0</v>
      </c>
      <c r="F51" s="13">
        <v>13.9</v>
      </c>
    </row>
    <row r="52" spans="1:6" x14ac:dyDescent="0.3">
      <c r="A52" s="13">
        <v>48</v>
      </c>
      <c r="B52" s="13">
        <v>1002</v>
      </c>
      <c r="C52" s="13" t="s">
        <v>97</v>
      </c>
      <c r="D52" s="13">
        <v>8.5</v>
      </c>
      <c r="E52" s="13">
        <v>0</v>
      </c>
      <c r="F52" s="13">
        <v>36.299999999999997</v>
      </c>
    </row>
    <row r="53" spans="1:6" x14ac:dyDescent="0.3">
      <c r="A53" s="13">
        <v>49</v>
      </c>
      <c r="B53" s="13">
        <v>1002</v>
      </c>
      <c r="C53" s="13" t="s">
        <v>97</v>
      </c>
      <c r="D53" s="13">
        <v>4</v>
      </c>
      <c r="E53" s="13">
        <v>0</v>
      </c>
      <c r="F53" s="13">
        <v>-23.8</v>
      </c>
    </row>
    <row r="54" spans="1:6" x14ac:dyDescent="0.3">
      <c r="A54" s="13">
        <v>50</v>
      </c>
      <c r="B54" s="13">
        <v>1002</v>
      </c>
      <c r="C54" s="13" t="s">
        <v>97</v>
      </c>
      <c r="D54" s="13">
        <v>11.5</v>
      </c>
      <c r="E54" s="13">
        <v>0</v>
      </c>
      <c r="F54" s="13">
        <v>-31</v>
      </c>
    </row>
    <row r="55" spans="1:6" x14ac:dyDescent="0.3">
      <c r="A55" s="13">
        <v>51</v>
      </c>
      <c r="B55" s="13">
        <v>1002</v>
      </c>
      <c r="C55" s="13" t="s">
        <v>97</v>
      </c>
      <c r="D55" s="13">
        <v>17</v>
      </c>
      <c r="E55" s="13">
        <v>0</v>
      </c>
      <c r="F55" s="13">
        <v>-38</v>
      </c>
    </row>
    <row r="56" spans="1:6" x14ac:dyDescent="0.3">
      <c r="A56" s="13">
        <v>52</v>
      </c>
      <c r="B56" s="13">
        <v>1002</v>
      </c>
      <c r="C56" s="13" t="s">
        <v>97</v>
      </c>
      <c r="D56" s="13">
        <v>18.600000000000001</v>
      </c>
      <c r="E56" s="13">
        <v>0</v>
      </c>
      <c r="F56" s="13">
        <v>-27</v>
      </c>
    </row>
    <row r="57" spans="1:6" x14ac:dyDescent="0.3">
      <c r="A57" s="13">
        <v>53</v>
      </c>
      <c r="B57" s="13">
        <v>2101</v>
      </c>
      <c r="C57" s="13" t="s">
        <v>100</v>
      </c>
      <c r="D57" s="13">
        <v>12.1</v>
      </c>
      <c r="E57" s="13">
        <v>0</v>
      </c>
      <c r="F57" s="13">
        <v>-10.7</v>
      </c>
    </row>
    <row r="58" spans="1:6" x14ac:dyDescent="0.3">
      <c r="A58" s="13">
        <v>54</v>
      </c>
      <c r="B58" s="13">
        <v>2101</v>
      </c>
      <c r="C58" s="13" t="s">
        <v>100</v>
      </c>
      <c r="D58" s="13">
        <v>-44.2</v>
      </c>
      <c r="E58" s="13">
        <v>0</v>
      </c>
      <c r="F58" s="13">
        <v>-18.600000000000001</v>
      </c>
    </row>
    <row r="59" spans="1:6" x14ac:dyDescent="0.3">
      <c r="A59" s="19">
        <v>55</v>
      </c>
      <c r="B59" s="19">
        <v>2101</v>
      </c>
      <c r="C59" s="19" t="s">
        <v>109</v>
      </c>
      <c r="D59" s="19">
        <v>-15.5</v>
      </c>
      <c r="E59" s="19">
        <v>0</v>
      </c>
      <c r="F59" s="19">
        <v>-7.8</v>
      </c>
    </row>
  </sheetData>
  <mergeCells count="4">
    <mergeCell ref="L3:L6"/>
    <mergeCell ref="I3:I6"/>
    <mergeCell ref="J3:J6"/>
    <mergeCell ref="K3:K6"/>
  </mergeCells>
  <phoneticPr fontId="6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MonsterData</vt:lpstr>
      <vt:lpstr>MonsterSpawnData</vt:lpstr>
      <vt:lpstr>String_Table</vt:lpstr>
      <vt:lpstr>StructureData</vt:lpstr>
      <vt:lpstr>StructureSpawnData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2025-12-31T01:11:39Z</dcterms:modified>
</cp:coreProperties>
</file>