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MonsterData" sheetId="1" r:id="rId1"/>
    <sheet name="MonsterSpawnData" sheetId="2" r:id="rId2"/>
    <sheet name="String_Tabl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3" l="1"/>
  <c r="E8" i="3"/>
  <c r="E6" i="3"/>
  <c r="E5" i="3"/>
</calcChain>
</file>

<file path=xl/sharedStrings.xml><?xml version="1.0" encoding="utf-8"?>
<sst xmlns="http://schemas.openxmlformats.org/spreadsheetml/2006/main" count="161" uniqueCount="87">
  <si>
    <t>번호</t>
    <phoneticPr fontId="3" type="noConversion"/>
  </si>
  <si>
    <t>몬스터 번호</t>
    <phoneticPr fontId="3" type="noConversion"/>
  </si>
  <si>
    <t>몬스터 키값</t>
    <phoneticPr fontId="3" type="noConversion"/>
  </si>
  <si>
    <t>공격력</t>
    <phoneticPr fontId="3" type="noConversion"/>
  </si>
  <si>
    <t>체력</t>
    <phoneticPr fontId="3" type="noConversion"/>
  </si>
  <si>
    <t>속도</t>
    <phoneticPr fontId="3" type="noConversion"/>
  </si>
  <si>
    <t>No.</t>
    <phoneticPr fontId="3" type="noConversion"/>
  </si>
  <si>
    <t>Monster_Number</t>
    <phoneticPr fontId="3" type="noConversion"/>
  </si>
  <si>
    <t>Monster_Key</t>
    <phoneticPr fontId="3" type="noConversion"/>
  </si>
  <si>
    <t>HP</t>
    <phoneticPr fontId="3" type="noConversion"/>
  </si>
  <si>
    <t>Speed</t>
    <phoneticPr fontId="3" type="noConversion"/>
  </si>
  <si>
    <t>Damage</t>
    <phoneticPr fontId="3" type="noConversion"/>
  </si>
  <si>
    <t>int</t>
    <phoneticPr fontId="3" type="noConversion"/>
  </si>
  <si>
    <t>string</t>
    <phoneticPr fontId="3" type="noConversion"/>
  </si>
  <si>
    <t>float</t>
  </si>
  <si>
    <t>float</t>
    <phoneticPr fontId="3" type="noConversion"/>
  </si>
  <si>
    <t>Spawn_Pos_X</t>
    <phoneticPr fontId="3" type="noConversion"/>
  </si>
  <si>
    <t>스폰 위치 X좌표</t>
    <phoneticPr fontId="3" type="noConversion"/>
  </si>
  <si>
    <t>스폰 위치 Y좌표</t>
    <phoneticPr fontId="3" type="noConversion"/>
  </si>
  <si>
    <t>스폰 위치 Z좌표</t>
    <phoneticPr fontId="3" type="noConversion"/>
  </si>
  <si>
    <t>Spawn_Pos_Y</t>
    <phoneticPr fontId="3" type="noConversion"/>
  </si>
  <si>
    <t>Spawn_Pos_Z</t>
    <phoneticPr fontId="3" type="noConversion"/>
  </si>
  <si>
    <t>Spawn_Dir_X</t>
  </si>
  <si>
    <t>Spawn_Dir_X</t>
    <phoneticPr fontId="3" type="noConversion"/>
  </si>
  <si>
    <t>스폰 방향 X좌표</t>
    <phoneticPr fontId="3" type="noConversion"/>
  </si>
  <si>
    <t>스폰 방향 Y좌표</t>
    <phoneticPr fontId="3" type="noConversion"/>
  </si>
  <si>
    <t>스폰 방향 Z좌표</t>
    <phoneticPr fontId="3" type="noConversion"/>
  </si>
  <si>
    <t>Monster_Ray</t>
  </si>
  <si>
    <t>Monster_Ray</t>
    <phoneticPr fontId="3" type="noConversion"/>
  </si>
  <si>
    <t>Monster_Bee</t>
  </si>
  <si>
    <t>Monster_Bee</t>
    <phoneticPr fontId="3" type="noConversion"/>
  </si>
  <si>
    <t>점수</t>
    <phoneticPr fontId="3" type="noConversion"/>
  </si>
  <si>
    <t>Point</t>
    <phoneticPr fontId="3" type="noConversion"/>
  </si>
  <si>
    <t>한글 이름</t>
    <phoneticPr fontId="3" type="noConversion"/>
  </si>
  <si>
    <t>영어 이름</t>
    <phoneticPr fontId="3" type="noConversion"/>
  </si>
  <si>
    <t>자료형</t>
    <phoneticPr fontId="3" type="noConversion"/>
  </si>
  <si>
    <t>설명</t>
    <phoneticPr fontId="3" type="noConversion"/>
  </si>
  <si>
    <t>몬스터 번호</t>
    <phoneticPr fontId="3" type="noConversion"/>
  </si>
  <si>
    <t>몬스터 키값</t>
    <phoneticPr fontId="3" type="noConversion"/>
  </si>
  <si>
    <t>체력</t>
    <phoneticPr fontId="3" type="noConversion"/>
  </si>
  <si>
    <t>속도</t>
    <phoneticPr fontId="3" type="noConversion"/>
  </si>
  <si>
    <t>공격력</t>
    <phoneticPr fontId="3" type="noConversion"/>
  </si>
  <si>
    <t>점수</t>
    <phoneticPr fontId="3" type="noConversion"/>
  </si>
  <si>
    <t>Monster_Number</t>
  </si>
  <si>
    <t>Monster_Key</t>
  </si>
  <si>
    <t>HP</t>
  </si>
  <si>
    <t>Speed</t>
  </si>
  <si>
    <t>Damage</t>
    <phoneticPr fontId="3" type="noConversion"/>
  </si>
  <si>
    <t>Point</t>
    <phoneticPr fontId="3" type="noConversion"/>
  </si>
  <si>
    <t>int</t>
    <phoneticPr fontId="3" type="noConversion"/>
  </si>
  <si>
    <t>string</t>
    <phoneticPr fontId="3" type="noConversion"/>
  </si>
  <si>
    <t>float</t>
    <phoneticPr fontId="3" type="noConversion"/>
  </si>
  <si>
    <t>몬스터 고유의 번호
1001: 가오리 몬스터, 2001: 벌 몬스터</t>
    <phoneticPr fontId="3" type="noConversion"/>
  </si>
  <si>
    <t>몬스터의 string 키값, string 테이블로 연결
모든 몬스터는 Monster_ 로 시작</t>
    <phoneticPr fontId="3" type="noConversion"/>
  </si>
  <si>
    <t>몬스터의 체력, 공격을 당하면 줄어들고 0이 되면 소멸</t>
    <phoneticPr fontId="3" type="noConversion"/>
  </si>
  <si>
    <t>몬스터의 이동속도</t>
    <phoneticPr fontId="3" type="noConversion"/>
  </si>
  <si>
    <t>몬스터의 공격력</t>
    <phoneticPr fontId="3" type="noConversion"/>
  </si>
  <si>
    <t>몬스터를 쓰러뜨렸을 때 플레이어가 얻을 수 있는 점수</t>
    <phoneticPr fontId="3" type="noConversion"/>
  </si>
  <si>
    <t>몬스터의 최초 스폰 좌표 ( X좌표 )</t>
    <phoneticPr fontId="3" type="noConversion"/>
  </si>
  <si>
    <t>몬스터의 최초 스폰 좌표 ( Z좌표 )</t>
    <phoneticPr fontId="3" type="noConversion"/>
  </si>
  <si>
    <t>몬스터의 최초 스폰 좌표 ( Y좌표 )</t>
    <phoneticPr fontId="3" type="noConversion"/>
  </si>
  <si>
    <t>몬스터 스폰 시 바라보는 방향 ( X좌표 )</t>
    <phoneticPr fontId="3" type="noConversion"/>
  </si>
  <si>
    <t>몬스터 스폰 시 바라보는 방향 ( Z좌표 )</t>
    <phoneticPr fontId="3" type="noConversion"/>
  </si>
  <si>
    <t>몬스터 스폰 시 바라보는 방향 ( Y좌표 )</t>
    <phoneticPr fontId="3" type="noConversion"/>
  </si>
  <si>
    <t>키값</t>
    <phoneticPr fontId="3" type="noConversion"/>
  </si>
  <si>
    <t>내용</t>
    <phoneticPr fontId="3" type="noConversion"/>
  </si>
  <si>
    <t>번역 현황</t>
    <phoneticPr fontId="3" type="noConversion"/>
  </si>
  <si>
    <t>Monster_Ray</t>
    <phoneticPr fontId="3" type="noConversion"/>
  </si>
  <si>
    <t>가오리 몬스터</t>
    <phoneticPr fontId="3" type="noConversion"/>
  </si>
  <si>
    <t>벌 몬스터</t>
    <phoneticPr fontId="3" type="noConversion"/>
  </si>
  <si>
    <t>National_Code</t>
    <phoneticPr fontId="3" type="noConversion"/>
  </si>
  <si>
    <t>String_Key</t>
  </si>
  <si>
    <t>Content</t>
  </si>
  <si>
    <t>Translation_Status</t>
  </si>
  <si>
    <t>한글 이름</t>
    <phoneticPr fontId="3" type="noConversion"/>
  </si>
  <si>
    <t>영어 이름</t>
    <phoneticPr fontId="3" type="noConversion"/>
  </si>
  <si>
    <t>국가 코드</t>
    <phoneticPr fontId="3" type="noConversion"/>
  </si>
  <si>
    <t>자료형</t>
    <phoneticPr fontId="3" type="noConversion"/>
  </si>
  <si>
    <t>설명</t>
    <phoneticPr fontId="3" type="noConversion"/>
  </si>
  <si>
    <t>국가 별 코드
한국: 1,  미국: 2</t>
    <phoneticPr fontId="3" type="noConversion"/>
  </si>
  <si>
    <t>string 키값
고유의 값으로 다른 값들과 구분</t>
    <phoneticPr fontId="3" type="noConversion"/>
  </si>
  <si>
    <t>국가 별로 번역한 내용</t>
  </si>
  <si>
    <r>
      <rPr>
        <sz val="11"/>
        <color rgb="FF0070C0"/>
        <rFont val="맑은 고딕"/>
        <family val="3"/>
        <charset val="129"/>
        <scheme val="minor"/>
      </rPr>
      <t>번역 완료 되었다면 1</t>
    </r>
    <r>
      <rPr>
        <sz val="11"/>
        <color theme="1"/>
        <rFont val="맑은 고딕"/>
        <family val="2"/>
        <scheme val="minor"/>
      </rPr>
      <t xml:space="preserve">, 
</t>
    </r>
    <r>
      <rPr>
        <sz val="11"/>
        <color rgb="FFFF5050"/>
        <rFont val="맑은 고딕"/>
        <family val="3"/>
        <charset val="129"/>
        <scheme val="minor"/>
      </rPr>
      <t>번역되지 않았다면 -1</t>
    </r>
    <phoneticPr fontId="3" type="noConversion"/>
  </si>
  <si>
    <t>Notice_Create_Monster</t>
    <phoneticPr fontId="3" type="noConversion"/>
  </si>
  <si>
    <t>Notice_Remove_Monster</t>
    <phoneticPr fontId="3" type="noConversion"/>
  </si>
  <si>
    <t>가 생성되었습니다.</t>
    <phoneticPr fontId="3" type="noConversion"/>
  </si>
  <si>
    <t>가 쓰러졌습니다.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</si>
</sst>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505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2" borderId="1" applyNumberFormat="0" applyFon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0" borderId="2" xfId="0" applyBorder="1" applyAlignment="1">
      <alignment horizontal="center"/>
    </xf>
    <xf numFmtId="0" fontId="2" fillId="3" borderId="2" xfId="2" applyBorder="1" applyAlignment="1">
      <alignment horizontal="center"/>
    </xf>
    <xf numFmtId="0" fontId="0" fillId="2" borderId="2" xfId="1" applyFont="1" applyBorder="1" applyAlignment="1">
      <alignment horizontal="center"/>
    </xf>
    <xf numFmtId="0" fontId="2" fillId="4" borderId="2" xfId="3" applyBorder="1" applyAlignment="1">
      <alignment horizontal="center"/>
    </xf>
    <xf numFmtId="0" fontId="1" fillId="4" borderId="2" xfId="3" applyFont="1" applyBorder="1" applyAlignment="1">
      <alignment horizontal="center"/>
    </xf>
    <xf numFmtId="0" fontId="1" fillId="2" borderId="2" xfId="1" applyFont="1" applyBorder="1" applyAlignment="1">
      <alignment horizontal="center"/>
    </xf>
    <xf numFmtId="0" fontId="2" fillId="3" borderId="2" xfId="2" applyBorder="1" applyAlignment="1">
      <alignment horizontal="center" vertical="center"/>
    </xf>
    <xf numFmtId="0" fontId="2" fillId="4" borderId="2" xfId="3" applyBorder="1" applyAlignment="1">
      <alignment horizontal="center" vertical="center"/>
    </xf>
    <xf numFmtId="0" fontId="1" fillId="2" borderId="2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2" xfId="1" applyFont="1" applyBorder="1" applyAlignment="1">
      <alignment horizontal="center" vertical="center"/>
    </xf>
    <xf numFmtId="0" fontId="2" fillId="4" borderId="2" xfId="3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3" borderId="2" xfId="2" applyFont="1" applyBorder="1" applyAlignment="1">
      <alignment horizontal="center"/>
    </xf>
    <xf numFmtId="0" fontId="0" fillId="2" borderId="2" xfId="1" applyFont="1" applyBorder="1" applyAlignment="1">
      <alignment horizontal="center" vertical="center"/>
    </xf>
    <xf numFmtId="0" fontId="0" fillId="2" borderId="2" xfId="1" applyFont="1" applyBorder="1" applyAlignment="1">
      <alignment horizontal="center" vertical="center"/>
    </xf>
    <xf numFmtId="0" fontId="1" fillId="3" borderId="2" xfId="2" applyFont="1" applyBorder="1" applyAlignment="1">
      <alignment horizontal="center" vertical="center"/>
    </xf>
    <xf numFmtId="0" fontId="1" fillId="4" borderId="2" xfId="3" applyFont="1" applyBorder="1" applyAlignment="1">
      <alignment horizontal="center" vertical="center"/>
    </xf>
    <xf numFmtId="0" fontId="1" fillId="3" borderId="2" xfId="2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</cellXfs>
  <cellStyles count="4">
    <cellStyle name="20% - 강조색2" xfId="2" builtinId="34"/>
    <cellStyle name="20% - 강조색6" xfId="3" builtinId="50"/>
    <cellStyle name="메모" xfId="1" builtinId="10"/>
    <cellStyle name="표준" xfId="0" builtinId="0"/>
  </cellStyles>
  <dxfs count="5">
    <dxf>
      <fill>
        <patternFill>
          <bgColor rgb="FFFF5050"/>
        </patternFill>
      </fill>
    </dxf>
    <dxf>
      <fill>
        <patternFill>
          <bgColor rgb="FF3399F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5050"/>
      <color rgb="FF3399FF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0"/>
  <sheetViews>
    <sheetView zoomScale="85" zoomScaleNormal="85" workbookViewId="0">
      <selection activeCell="J15" sqref="J15"/>
    </sheetView>
  </sheetViews>
  <sheetFormatPr defaultRowHeight="16.5" x14ac:dyDescent="0.3"/>
  <cols>
    <col min="1" max="1" width="5.25" bestFit="1" customWidth="1"/>
    <col min="2" max="2" width="16.75" bestFit="1" customWidth="1"/>
    <col min="3" max="3" width="12.5" bestFit="1" customWidth="1"/>
    <col min="4" max="4" width="5.25" bestFit="1" customWidth="1"/>
    <col min="5" max="5" width="6.75" bestFit="1" customWidth="1"/>
    <col min="6" max="6" width="8.625" bestFit="1" customWidth="1"/>
    <col min="7" max="9" width="9" customWidth="1"/>
    <col min="10" max="10" width="11.625" customWidth="1"/>
    <col min="11" max="11" width="16.75" customWidth="1"/>
    <col min="12" max="12" width="9" customWidth="1"/>
    <col min="13" max="13" width="50.625" customWidth="1"/>
  </cols>
  <sheetData>
    <row r="2" spans="1:13" x14ac:dyDescent="0.3">
      <c r="A2" s="2" t="s">
        <v>0</v>
      </c>
      <c r="B2" s="2" t="s">
        <v>1</v>
      </c>
      <c r="C2" s="2" t="s">
        <v>2</v>
      </c>
      <c r="D2" s="2" t="s">
        <v>4</v>
      </c>
      <c r="E2" s="2" t="s">
        <v>5</v>
      </c>
      <c r="F2" s="2" t="s">
        <v>3</v>
      </c>
      <c r="G2" s="2" t="s">
        <v>31</v>
      </c>
      <c r="J2" s="7" t="s">
        <v>33</v>
      </c>
      <c r="K2" s="8" t="s">
        <v>34</v>
      </c>
      <c r="L2" s="9" t="s">
        <v>35</v>
      </c>
      <c r="M2" s="10" t="s">
        <v>36</v>
      </c>
    </row>
    <row r="3" spans="1:13" x14ac:dyDescent="0.3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4" t="s">
        <v>32</v>
      </c>
      <c r="J3" s="13" t="s">
        <v>37</v>
      </c>
      <c r="K3" s="12" t="s">
        <v>43</v>
      </c>
      <c r="L3" s="11" t="s">
        <v>49</v>
      </c>
      <c r="M3" s="14" t="s">
        <v>52</v>
      </c>
    </row>
    <row r="4" spans="1:13" x14ac:dyDescent="0.3">
      <c r="A4" s="3" t="s">
        <v>12</v>
      </c>
      <c r="B4" s="3" t="s">
        <v>12</v>
      </c>
      <c r="C4" s="3" t="s">
        <v>13</v>
      </c>
      <c r="D4" s="3" t="s">
        <v>12</v>
      </c>
      <c r="E4" s="3" t="s">
        <v>15</v>
      </c>
      <c r="F4" s="3" t="s">
        <v>12</v>
      </c>
      <c r="G4" s="3" t="s">
        <v>12</v>
      </c>
      <c r="J4" s="13"/>
      <c r="K4" s="12"/>
      <c r="L4" s="11"/>
      <c r="M4" s="15"/>
    </row>
    <row r="5" spans="1:13" x14ac:dyDescent="0.3">
      <c r="A5" s="1">
        <v>1</v>
      </c>
      <c r="B5" s="1">
        <v>1001</v>
      </c>
      <c r="C5" s="1" t="s">
        <v>28</v>
      </c>
      <c r="D5" s="1">
        <v>120</v>
      </c>
      <c r="E5" s="1">
        <v>1.5</v>
      </c>
      <c r="F5" s="1">
        <v>5</v>
      </c>
      <c r="G5" s="1">
        <v>10</v>
      </c>
      <c r="J5" s="13" t="s">
        <v>38</v>
      </c>
      <c r="K5" s="12" t="s">
        <v>44</v>
      </c>
      <c r="L5" s="11" t="s">
        <v>50</v>
      </c>
      <c r="M5" s="14" t="s">
        <v>53</v>
      </c>
    </row>
    <row r="6" spans="1:13" x14ac:dyDescent="0.3">
      <c r="A6" s="1">
        <v>2</v>
      </c>
      <c r="B6" s="1">
        <v>2001</v>
      </c>
      <c r="C6" s="1" t="s">
        <v>30</v>
      </c>
      <c r="D6" s="1">
        <v>80</v>
      </c>
      <c r="E6" s="1">
        <v>2</v>
      </c>
      <c r="F6" s="1">
        <v>10</v>
      </c>
      <c r="G6" s="1">
        <v>7</v>
      </c>
      <c r="J6" s="13"/>
      <c r="K6" s="12"/>
      <c r="L6" s="11"/>
      <c r="M6" s="15"/>
    </row>
    <row r="7" spans="1:13" x14ac:dyDescent="0.3">
      <c r="J7" s="7" t="s">
        <v>39</v>
      </c>
      <c r="K7" s="8" t="s">
        <v>45</v>
      </c>
      <c r="L7" s="9" t="s">
        <v>49</v>
      </c>
      <c r="M7" s="10" t="s">
        <v>54</v>
      </c>
    </row>
    <row r="8" spans="1:13" x14ac:dyDescent="0.3">
      <c r="J8" s="7" t="s">
        <v>40</v>
      </c>
      <c r="K8" s="8" t="s">
        <v>46</v>
      </c>
      <c r="L8" s="9" t="s">
        <v>51</v>
      </c>
      <c r="M8" s="10" t="s">
        <v>55</v>
      </c>
    </row>
    <row r="9" spans="1:13" x14ac:dyDescent="0.3">
      <c r="J9" s="7" t="s">
        <v>41</v>
      </c>
      <c r="K9" s="8" t="s">
        <v>47</v>
      </c>
      <c r="L9" s="9" t="s">
        <v>49</v>
      </c>
      <c r="M9" s="10" t="s">
        <v>56</v>
      </c>
    </row>
    <row r="10" spans="1:13" x14ac:dyDescent="0.3">
      <c r="J10" s="7" t="s">
        <v>42</v>
      </c>
      <c r="K10" s="8" t="s">
        <v>48</v>
      </c>
      <c r="L10" s="9" t="s">
        <v>49</v>
      </c>
      <c r="M10" s="10" t="s">
        <v>57</v>
      </c>
    </row>
  </sheetData>
  <mergeCells count="8">
    <mergeCell ref="M3:M4"/>
    <mergeCell ref="L3:L4"/>
    <mergeCell ref="K3:K4"/>
    <mergeCell ref="J3:J4"/>
    <mergeCell ref="M5:M6"/>
    <mergeCell ref="L5:L6"/>
    <mergeCell ref="K5:K6"/>
    <mergeCell ref="J5:J6"/>
  </mergeCells>
  <phoneticPr fontId="3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2"/>
  <sheetViews>
    <sheetView zoomScale="85" zoomScaleNormal="85" workbookViewId="0">
      <selection activeCell="C41" sqref="C41"/>
    </sheetView>
  </sheetViews>
  <sheetFormatPr defaultRowHeight="16.5" x14ac:dyDescent="0.3"/>
  <cols>
    <col min="1" max="1" width="5.25" bestFit="1" customWidth="1"/>
    <col min="2" max="2" width="16.75" bestFit="1" customWidth="1"/>
    <col min="3" max="3" width="12.5" bestFit="1" customWidth="1"/>
    <col min="4" max="4" width="15.5" bestFit="1" customWidth="1"/>
    <col min="5" max="6" width="15.625" bestFit="1" customWidth="1"/>
    <col min="7" max="7" width="15.5" bestFit="1" customWidth="1"/>
    <col min="8" max="9" width="15.625" bestFit="1" customWidth="1"/>
    <col min="12" max="12" width="15.625" bestFit="1" customWidth="1"/>
    <col min="13" max="13" width="16.75" bestFit="1" customWidth="1"/>
    <col min="14" max="14" width="7.125" bestFit="1" customWidth="1"/>
    <col min="15" max="15" width="36" customWidth="1"/>
  </cols>
  <sheetData>
    <row r="2" spans="1:15" x14ac:dyDescent="0.3">
      <c r="A2" s="2" t="s">
        <v>0</v>
      </c>
      <c r="B2" s="2" t="s">
        <v>1</v>
      </c>
      <c r="C2" s="2" t="s">
        <v>2</v>
      </c>
      <c r="D2" s="2" t="s">
        <v>17</v>
      </c>
      <c r="E2" s="2" t="s">
        <v>18</v>
      </c>
      <c r="F2" s="2" t="s">
        <v>19</v>
      </c>
      <c r="G2" s="2" t="s">
        <v>24</v>
      </c>
      <c r="H2" s="2" t="s">
        <v>25</v>
      </c>
      <c r="I2" s="2" t="s">
        <v>26</v>
      </c>
      <c r="L2" s="16" t="s">
        <v>33</v>
      </c>
      <c r="M2" s="4" t="s">
        <v>34</v>
      </c>
      <c r="N2" s="6" t="s">
        <v>35</v>
      </c>
      <c r="O2" s="1" t="s">
        <v>36</v>
      </c>
    </row>
    <row r="3" spans="1:15" x14ac:dyDescent="0.3">
      <c r="A3" s="4" t="s">
        <v>6</v>
      </c>
      <c r="B3" s="4" t="s">
        <v>7</v>
      </c>
      <c r="C3" s="4" t="s">
        <v>8</v>
      </c>
      <c r="D3" s="4" t="s">
        <v>16</v>
      </c>
      <c r="E3" s="4" t="s">
        <v>20</v>
      </c>
      <c r="F3" s="4" t="s">
        <v>21</v>
      </c>
      <c r="G3" s="4" t="s">
        <v>23</v>
      </c>
      <c r="H3" s="4" t="s">
        <v>22</v>
      </c>
      <c r="I3" s="4" t="s">
        <v>22</v>
      </c>
      <c r="L3" s="13" t="s">
        <v>1</v>
      </c>
      <c r="M3" s="12" t="s">
        <v>7</v>
      </c>
      <c r="N3" s="18" t="s">
        <v>12</v>
      </c>
      <c r="O3" s="14" t="s">
        <v>52</v>
      </c>
    </row>
    <row r="4" spans="1:15" x14ac:dyDescent="0.3">
      <c r="A4" s="3" t="s">
        <v>12</v>
      </c>
      <c r="B4" s="3" t="s">
        <v>12</v>
      </c>
      <c r="C4" s="3" t="s">
        <v>13</v>
      </c>
      <c r="D4" s="3" t="s">
        <v>15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  <c r="L4" s="13"/>
      <c r="M4" s="12"/>
      <c r="N4" s="18"/>
      <c r="O4" s="15"/>
    </row>
    <row r="5" spans="1:15" x14ac:dyDescent="0.3">
      <c r="A5" s="1">
        <v>1</v>
      </c>
      <c r="B5" s="1">
        <v>1001</v>
      </c>
      <c r="C5" s="1" t="s">
        <v>67</v>
      </c>
      <c r="D5" s="1">
        <v>-30</v>
      </c>
      <c r="E5" s="1">
        <v>0</v>
      </c>
      <c r="F5" s="1">
        <v>-30</v>
      </c>
      <c r="G5" s="1">
        <v>0</v>
      </c>
      <c r="H5" s="1">
        <v>30</v>
      </c>
      <c r="I5" s="1">
        <v>0</v>
      </c>
      <c r="L5" s="13" t="s">
        <v>2</v>
      </c>
      <c r="M5" s="12" t="s">
        <v>8</v>
      </c>
      <c r="N5" s="18" t="s">
        <v>13</v>
      </c>
      <c r="O5" s="14" t="s">
        <v>53</v>
      </c>
    </row>
    <row r="6" spans="1:15" x14ac:dyDescent="0.3">
      <c r="A6" s="1">
        <v>2</v>
      </c>
      <c r="B6" s="1">
        <v>1001</v>
      </c>
      <c r="C6" s="1" t="s">
        <v>27</v>
      </c>
      <c r="D6" s="1">
        <v>-10</v>
      </c>
      <c r="E6" s="1">
        <v>0</v>
      </c>
      <c r="F6" s="1">
        <v>5</v>
      </c>
      <c r="G6" s="1">
        <v>0</v>
      </c>
      <c r="H6" s="1">
        <v>90</v>
      </c>
      <c r="I6" s="1">
        <v>0</v>
      </c>
      <c r="L6" s="13"/>
      <c r="M6" s="12"/>
      <c r="N6" s="18"/>
      <c r="O6" s="15"/>
    </row>
    <row r="7" spans="1:15" x14ac:dyDescent="0.3">
      <c r="A7" s="1">
        <v>3</v>
      </c>
      <c r="B7" s="1">
        <v>2001</v>
      </c>
      <c r="C7" s="1" t="s">
        <v>29</v>
      </c>
      <c r="D7" s="1">
        <v>25</v>
      </c>
      <c r="E7" s="1">
        <v>0</v>
      </c>
      <c r="F7" s="1">
        <v>-25</v>
      </c>
      <c r="G7" s="1">
        <v>0</v>
      </c>
      <c r="H7" s="1">
        <v>150</v>
      </c>
      <c r="I7" s="1">
        <v>0</v>
      </c>
      <c r="L7" s="7" t="s">
        <v>17</v>
      </c>
      <c r="M7" s="8" t="s">
        <v>16</v>
      </c>
      <c r="N7" s="17" t="s">
        <v>15</v>
      </c>
      <c r="O7" s="10" t="s">
        <v>58</v>
      </c>
    </row>
    <row r="8" spans="1:15" x14ac:dyDescent="0.3">
      <c r="A8" s="1">
        <v>4</v>
      </c>
      <c r="B8" s="1">
        <v>2001</v>
      </c>
      <c r="C8" s="1" t="s">
        <v>29</v>
      </c>
      <c r="D8" s="1">
        <v>0</v>
      </c>
      <c r="E8" s="1">
        <v>0</v>
      </c>
      <c r="F8" s="1">
        <v>20</v>
      </c>
      <c r="G8" s="1">
        <v>0</v>
      </c>
      <c r="H8" s="1">
        <v>270</v>
      </c>
      <c r="I8" s="1">
        <v>0</v>
      </c>
      <c r="L8" s="7" t="s">
        <v>18</v>
      </c>
      <c r="M8" s="8" t="s">
        <v>20</v>
      </c>
      <c r="N8" s="17" t="s">
        <v>14</v>
      </c>
      <c r="O8" s="10" t="s">
        <v>60</v>
      </c>
    </row>
    <row r="9" spans="1:15" x14ac:dyDescent="0.3">
      <c r="L9" s="7" t="s">
        <v>19</v>
      </c>
      <c r="M9" s="8" t="s">
        <v>21</v>
      </c>
      <c r="N9" s="17" t="s">
        <v>14</v>
      </c>
      <c r="O9" s="10" t="s">
        <v>59</v>
      </c>
    </row>
    <row r="10" spans="1:15" x14ac:dyDescent="0.3">
      <c r="L10" s="7" t="s">
        <v>24</v>
      </c>
      <c r="M10" s="8" t="s">
        <v>23</v>
      </c>
      <c r="N10" s="17" t="s">
        <v>14</v>
      </c>
      <c r="O10" s="10" t="s">
        <v>61</v>
      </c>
    </row>
    <row r="11" spans="1:15" x14ac:dyDescent="0.3">
      <c r="L11" s="7" t="s">
        <v>25</v>
      </c>
      <c r="M11" s="8" t="s">
        <v>22</v>
      </c>
      <c r="N11" s="17" t="s">
        <v>14</v>
      </c>
      <c r="O11" s="10" t="s">
        <v>63</v>
      </c>
    </row>
    <row r="12" spans="1:15" x14ac:dyDescent="0.3">
      <c r="L12" s="7" t="s">
        <v>26</v>
      </c>
      <c r="M12" s="8" t="s">
        <v>22</v>
      </c>
      <c r="N12" s="17" t="s">
        <v>14</v>
      </c>
      <c r="O12" s="10" t="s">
        <v>62</v>
      </c>
    </row>
  </sheetData>
  <mergeCells count="8">
    <mergeCell ref="L3:L4"/>
    <mergeCell ref="M3:M4"/>
    <mergeCell ref="N3:N4"/>
    <mergeCell ref="O3:O4"/>
    <mergeCell ref="O5:O6"/>
    <mergeCell ref="N5:N6"/>
    <mergeCell ref="M5:M6"/>
    <mergeCell ref="L5:L6"/>
  </mergeCells>
  <phoneticPr fontId="3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9"/>
  <sheetViews>
    <sheetView tabSelected="1" zoomScale="85" zoomScaleNormal="85" workbookViewId="0">
      <selection activeCell="E10" sqref="E10"/>
    </sheetView>
  </sheetViews>
  <sheetFormatPr defaultRowHeight="16.5" x14ac:dyDescent="0.3"/>
  <cols>
    <col min="1" max="1" width="5.25" bestFit="1" customWidth="1"/>
    <col min="2" max="2" width="14.375" bestFit="1" customWidth="1"/>
    <col min="3" max="3" width="23.625" bestFit="1" customWidth="1"/>
    <col min="4" max="4" width="23" customWidth="1"/>
    <col min="5" max="5" width="17.5" bestFit="1" customWidth="1"/>
    <col min="8" max="8" width="9.625" bestFit="1" customWidth="1"/>
    <col min="9" max="9" width="17.5" bestFit="1" customWidth="1"/>
    <col min="10" max="10" width="7.125" bestFit="1" customWidth="1"/>
    <col min="11" max="11" width="31.25" customWidth="1"/>
  </cols>
  <sheetData>
    <row r="2" spans="1:11" x14ac:dyDescent="0.3">
      <c r="A2" s="7" t="s">
        <v>0</v>
      </c>
      <c r="B2" s="19" t="s">
        <v>76</v>
      </c>
      <c r="C2" s="7" t="s">
        <v>64</v>
      </c>
      <c r="D2" s="7" t="s">
        <v>65</v>
      </c>
      <c r="E2" s="7" t="s">
        <v>66</v>
      </c>
      <c r="H2" s="19" t="s">
        <v>74</v>
      </c>
      <c r="I2" s="20" t="s">
        <v>75</v>
      </c>
      <c r="J2" s="17" t="s">
        <v>77</v>
      </c>
      <c r="K2" s="10" t="s">
        <v>78</v>
      </c>
    </row>
    <row r="3" spans="1:11" x14ac:dyDescent="0.3">
      <c r="A3" s="8" t="s">
        <v>6</v>
      </c>
      <c r="B3" s="8" t="s">
        <v>70</v>
      </c>
      <c r="C3" s="8" t="s">
        <v>71</v>
      </c>
      <c r="D3" s="8" t="s">
        <v>72</v>
      </c>
      <c r="E3" s="8" t="s">
        <v>73</v>
      </c>
      <c r="H3" s="21" t="s">
        <v>76</v>
      </c>
      <c r="I3" s="12" t="s">
        <v>70</v>
      </c>
      <c r="J3" s="18" t="s">
        <v>12</v>
      </c>
      <c r="K3" s="14" t="s">
        <v>79</v>
      </c>
    </row>
    <row r="4" spans="1:11" x14ac:dyDescent="0.3">
      <c r="A4" s="17" t="s">
        <v>12</v>
      </c>
      <c r="B4" s="17" t="s">
        <v>12</v>
      </c>
      <c r="C4" s="17" t="s">
        <v>13</v>
      </c>
      <c r="D4" s="17" t="s">
        <v>13</v>
      </c>
      <c r="E4" s="17" t="s">
        <v>12</v>
      </c>
      <c r="H4" s="21"/>
      <c r="I4" s="12"/>
      <c r="J4" s="18"/>
      <c r="K4" s="14"/>
    </row>
    <row r="5" spans="1:11" x14ac:dyDescent="0.3">
      <c r="A5" s="10">
        <v>1</v>
      </c>
      <c r="B5" s="10">
        <v>1</v>
      </c>
      <c r="C5" s="10" t="s">
        <v>27</v>
      </c>
      <c r="D5" s="10" t="s">
        <v>68</v>
      </c>
      <c r="E5" s="10">
        <f>IF(COUNTBLANK(D5) &gt; 0, -1, 1)</f>
        <v>1</v>
      </c>
      <c r="H5" s="13" t="s">
        <v>64</v>
      </c>
      <c r="I5" s="12" t="s">
        <v>71</v>
      </c>
      <c r="J5" s="18" t="s">
        <v>13</v>
      </c>
      <c r="K5" s="14" t="s">
        <v>80</v>
      </c>
    </row>
    <row r="6" spans="1:11" x14ac:dyDescent="0.3">
      <c r="A6" s="10">
        <v>2</v>
      </c>
      <c r="B6" s="10">
        <v>1</v>
      </c>
      <c r="C6" s="10" t="s">
        <v>30</v>
      </c>
      <c r="D6" s="10" t="s">
        <v>69</v>
      </c>
      <c r="E6" s="10">
        <f>IF(COUNTBLANK(D6) &gt; 0, -1, 1)</f>
        <v>1</v>
      </c>
      <c r="H6" s="13"/>
      <c r="I6" s="12"/>
      <c r="J6" s="18"/>
      <c r="K6" s="14"/>
    </row>
    <row r="7" spans="1:11" x14ac:dyDescent="0.3">
      <c r="A7" s="1">
        <v>3</v>
      </c>
      <c r="B7" s="1">
        <v>1</v>
      </c>
      <c r="C7" s="1" t="s">
        <v>83</v>
      </c>
      <c r="D7" s="1" t="s">
        <v>85</v>
      </c>
      <c r="E7" s="10">
        <f>IF(COUNTBLANK(D7) &gt; 0, -1, 1)</f>
        <v>1</v>
      </c>
      <c r="H7" s="7" t="s">
        <v>65</v>
      </c>
      <c r="I7" s="8" t="s">
        <v>72</v>
      </c>
      <c r="J7" s="17" t="s">
        <v>13</v>
      </c>
      <c r="K7" s="10" t="s">
        <v>81</v>
      </c>
    </row>
    <row r="8" spans="1:11" x14ac:dyDescent="0.3">
      <c r="A8" s="1">
        <v>4</v>
      </c>
      <c r="B8" s="1">
        <v>1</v>
      </c>
      <c r="C8" s="1" t="s">
        <v>84</v>
      </c>
      <c r="D8" s="1" t="s">
        <v>86</v>
      </c>
      <c r="E8" s="10">
        <f>IF(COUNTBLANK(D8) &gt; 0, -1, 1)</f>
        <v>1</v>
      </c>
      <c r="H8" s="13" t="s">
        <v>66</v>
      </c>
      <c r="I8" s="12" t="s">
        <v>73</v>
      </c>
      <c r="J8" s="18" t="s">
        <v>12</v>
      </c>
      <c r="K8" s="22" t="s">
        <v>82</v>
      </c>
    </row>
    <row r="9" spans="1:11" x14ac:dyDescent="0.3">
      <c r="H9" s="13"/>
      <c r="I9" s="12"/>
      <c r="J9" s="18"/>
      <c r="K9" s="15"/>
    </row>
  </sheetData>
  <mergeCells count="12">
    <mergeCell ref="H3:H4"/>
    <mergeCell ref="H5:H6"/>
    <mergeCell ref="I5:I6"/>
    <mergeCell ref="J5:J6"/>
    <mergeCell ref="J8:J9"/>
    <mergeCell ref="I8:I9"/>
    <mergeCell ref="H8:H9"/>
    <mergeCell ref="K3:K4"/>
    <mergeCell ref="K5:K6"/>
    <mergeCell ref="K8:K9"/>
    <mergeCell ref="J3:J4"/>
    <mergeCell ref="I3:I4"/>
  </mergeCells>
  <phoneticPr fontId="3" type="noConversion"/>
  <conditionalFormatting sqref="E5:E8">
    <cfRule type="cellIs" dxfId="1" priority="1" operator="equal">
      <formula>1</formula>
    </cfRule>
    <cfRule type="cellIs" dxfId="0" priority="2" operator="equal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MonsterData</vt:lpstr>
      <vt:lpstr>MonsterSpawnData</vt:lpstr>
      <vt:lpstr>String_Table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2025-12-22T01:00:41Z</dcterms:modified>
</cp:coreProperties>
</file>